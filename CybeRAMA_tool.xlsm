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6.xml" ContentType="application/vnd.openxmlformats-officedocument.drawing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7.xml" ContentType="application/vnd.openxmlformats-officedocument.drawing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8.xml" ContentType="application/vnd.openxmlformats-officedocument.drawing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9.xml" ContentType="application/vnd.openxmlformats-officedocument.drawing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10.xml" ContentType="application/vnd.openxmlformats-officedocument.drawing+xml"/>
  <Override PartName="/xl/charts/chart10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11.xml" ContentType="application/vnd.openxmlformats-officedocument.drawing+xml"/>
  <Override PartName="/xl/charts/chart11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12.xml" ContentType="application/vnd.openxmlformats-officedocument.drawing+xml"/>
  <Override PartName="/xl/charts/chart12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3.xml" ContentType="application/vnd.openxmlformats-officedocument.drawing+xml"/>
  <Override PartName="/xl/charts/chart13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4.xml" ContentType="application/vnd.openxmlformats-officedocument.drawing+xml"/>
  <Override PartName="/xl/charts/chart14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5.xml" ContentType="application/vnd.openxmlformats-officedocument.drawing+xml"/>
  <Override PartName="/xl/charts/chart15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6.xml" ContentType="application/vnd.openxmlformats-officedocument.drawing+xml"/>
  <Override PartName="/xl/charts/chart16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7.xml" ContentType="application/vnd.openxmlformats-officedocument.drawing+xml"/>
  <Override PartName="/xl/ctrlProps/ctrlProp1.xml" ContentType="application/vnd.ms-excel.controlproperties+xml"/>
  <Override PartName="/xl/drawings/drawing18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 codeName="{5022B3EB-BCE5-7840-4BB8-8062D341818C}"/>
  <workbookPr codeName="Questa_cartella_di_lavoro" defaultThemeVersion="166925"/>
  <mc:AlternateContent xmlns:mc="http://schemas.openxmlformats.org/markup-compatibility/2006">
    <mc:Choice Requires="x15">
      <x15ac:absPath xmlns:x15ac="http://schemas.microsoft.com/office/spreadsheetml/2010/11/ac" url="C:\Users\giuli\Desktop\"/>
    </mc:Choice>
  </mc:AlternateContent>
  <xr:revisionPtr revIDLastSave="0" documentId="13_ncr:1_{D1E91022-1097-469D-9838-A3ED76A19AB4}" xr6:coauthVersionLast="47" xr6:coauthVersionMax="47" xr10:uidLastSave="{00000000-0000-0000-0000-000000000000}"/>
  <workbookProtection workbookAlgorithmName="SHA-512" workbookHashValue="cjrpoyHg7/Wxx8dHPIUqA29qBmfsDDEVTV2KKJPODmhF0h6orAwkLAMk+0Sx2glIUsPzuZsB3MOl0/oo8ZCA3A==" workbookSaltValue="AuQ385H7ikSx+Arbzm8+Ag==" workbookSpinCount="100000" lockStructure="1"/>
  <bookViews>
    <workbookView xWindow="-110" yWindow="-110" windowWidth="19420" windowHeight="10300" xr2:uid="{BF5CF3D9-01F8-4BC7-880E-B84541F3317E}"/>
  </bookViews>
  <sheets>
    <sheet name="Cover" sheetId="24" r:id="rId1"/>
    <sheet name="Val. Complessità" sheetId="19" r:id="rId2"/>
    <sheet name="Indice Complessità" sheetId="20" r:id="rId3"/>
    <sheet name="Val. Maturità" sheetId="17" r:id="rId4"/>
    <sheet name="Tabella Pesi" sheetId="1" state="hidden" r:id="rId5"/>
    <sheet name="1" sheetId="2" state="hidden" r:id="rId6"/>
    <sheet name="2" sheetId="3" state="hidden" r:id="rId7"/>
    <sheet name="3" sheetId="4" state="hidden" r:id="rId8"/>
    <sheet name="4" sheetId="5" state="hidden" r:id="rId9"/>
    <sheet name="5" sheetId="6" state="hidden" r:id="rId10"/>
    <sheet name="6" sheetId="7" state="hidden" r:id="rId11"/>
    <sheet name="7" sheetId="8" state="hidden" r:id="rId12"/>
    <sheet name="8" sheetId="9" state="hidden" r:id="rId13"/>
    <sheet name="9" sheetId="10" state="hidden" r:id="rId14"/>
    <sheet name="10" sheetId="11" state="hidden" r:id="rId15"/>
    <sheet name="11" sheetId="12" state="hidden" r:id="rId16"/>
    <sheet name="12" sheetId="13" state="hidden" r:id="rId17"/>
    <sheet name="13" sheetId="14" state="hidden" r:id="rId18"/>
    <sheet name="14" sheetId="15" state="hidden" r:id="rId19"/>
    <sheet name="15" sheetId="16" state="hidden" r:id="rId20"/>
    <sheet name="Calcolo Probabilità" sheetId="18" r:id="rId21"/>
    <sheet name="Input HTMA" sheetId="26" r:id="rId22"/>
    <sheet name="old HTMA" sheetId="25" state="hidden" r:id="rId23"/>
    <sheet name="FAIR" sheetId="23" state="hidden" r:id="rId24"/>
    <sheet name="Engine" sheetId="21" state="hidden" r:id="rId25"/>
  </sheets>
  <definedNames>
    <definedName name="solver_eng" localSheetId="20" hidden="1">1</definedName>
    <definedName name="solver_neg" localSheetId="20" hidden="1">1</definedName>
    <definedName name="solver_num" localSheetId="20" hidden="1">0</definedName>
    <definedName name="solver_opt" localSheetId="20" hidden="1">'Calcolo Probabilità'!$H$7</definedName>
    <definedName name="solver_typ" localSheetId="20" hidden="1">1</definedName>
    <definedName name="solver_val" localSheetId="20" hidden="1">0</definedName>
    <definedName name="solver_ver" localSheetId="20" hidden="1">3</definedName>
    <definedName name="Z_C3C353A6_71F9_4AD0_97A8_CA2D42A4FA0C_.wvu.Cols" localSheetId="2" hidden="1">'Indice Complessità'!$H:$XFD</definedName>
    <definedName name="Z_C3C353A6_71F9_4AD0_97A8_CA2D42A4FA0C_.wvu.Cols" localSheetId="1" hidden="1">'Val. Complessità'!$N:$XFD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75" i="21" l="1"/>
  <c r="F74" i="21"/>
  <c r="F73" i="21"/>
  <c r="F72" i="21"/>
  <c r="F71" i="21"/>
  <c r="F70" i="21"/>
  <c r="F69" i="21"/>
  <c r="F68" i="21"/>
  <c r="F67" i="21"/>
  <c r="F66" i="21"/>
  <c r="F65" i="21"/>
  <c r="F64" i="21"/>
  <c r="F63" i="21"/>
  <c r="F62" i="21"/>
  <c r="F61" i="21"/>
  <c r="A5" i="18"/>
  <c r="E4" i="21"/>
  <c r="F5" i="21"/>
  <c r="F6" i="21"/>
  <c r="F7" i="21"/>
  <c r="F8" i="21"/>
  <c r="F9" i="21"/>
  <c r="F10" i="21"/>
  <c r="F11" i="21"/>
  <c r="F12" i="21"/>
  <c r="F13" i="21"/>
  <c r="F14" i="21"/>
  <c r="F15" i="21"/>
  <c r="F16" i="21"/>
  <c r="F17" i="21"/>
  <c r="F18" i="21"/>
  <c r="F4" i="21"/>
  <c r="J4" i="17" l="1"/>
  <c r="Q4" i="17" s="1"/>
  <c r="Q5" i="17" s="1"/>
  <c r="D4" i="21" s="1"/>
  <c r="A16" i="25"/>
  <c r="A15" i="25"/>
  <c r="A14" i="25"/>
  <c r="A13" i="25"/>
  <c r="A12" i="25"/>
  <c r="A11" i="25"/>
  <c r="A10" i="25"/>
  <c r="A9" i="25"/>
  <c r="A8" i="25"/>
  <c r="A7" i="25"/>
  <c r="A6" i="25"/>
  <c r="A5" i="25"/>
  <c r="A4" i="25"/>
  <c r="A3" i="25"/>
  <c r="A2" i="25"/>
  <c r="C32" i="19"/>
  <c r="C14" i="19"/>
  <c r="C13" i="19"/>
  <c r="E8" i="17"/>
  <c r="E18" i="17"/>
  <c r="E7" i="17"/>
  <c r="E4" i="17"/>
  <c r="E6" i="17"/>
  <c r="E5" i="17"/>
  <c r="J11" i="23"/>
  <c r="E45" i="19" l="1"/>
  <c r="G45" i="19" s="1"/>
  <c r="E46" i="19"/>
  <c r="G46" i="19" s="1"/>
  <c r="E47" i="19"/>
  <c r="G47" i="19" s="1"/>
  <c r="E48" i="19"/>
  <c r="G48" i="19" s="1"/>
  <c r="E49" i="19"/>
  <c r="G49" i="19" s="1"/>
  <c r="E44" i="19"/>
  <c r="E40" i="19"/>
  <c r="G40" i="19" s="1"/>
  <c r="E41" i="19"/>
  <c r="G41" i="19" s="1"/>
  <c r="E39" i="19"/>
  <c r="B32" i="19"/>
  <c r="E34" i="19"/>
  <c r="G34" i="19" s="1"/>
  <c r="E35" i="19"/>
  <c r="G35" i="19" s="1"/>
  <c r="E36" i="19"/>
  <c r="G36" i="19" s="1"/>
  <c r="E33" i="19"/>
  <c r="G33" i="19" s="1"/>
  <c r="E27" i="19"/>
  <c r="G27" i="19" s="1"/>
  <c r="E28" i="19"/>
  <c r="G28" i="19" s="1"/>
  <c r="E29" i="19"/>
  <c r="G29" i="19" s="1"/>
  <c r="E26" i="19"/>
  <c r="E16" i="19"/>
  <c r="G16" i="19" s="1"/>
  <c r="E17" i="19"/>
  <c r="G17" i="19" s="1"/>
  <c r="E18" i="19"/>
  <c r="G18" i="19" s="1"/>
  <c r="E19" i="19"/>
  <c r="G19" i="19" s="1"/>
  <c r="E20" i="19"/>
  <c r="G20" i="19" s="1"/>
  <c r="E21" i="19"/>
  <c r="G21" i="19" s="1"/>
  <c r="E22" i="19"/>
  <c r="G22" i="19" s="1"/>
  <c r="E23" i="19"/>
  <c r="G23" i="19" s="1"/>
  <c r="E15" i="19"/>
  <c r="G15" i="19" s="1"/>
  <c r="B14" i="19"/>
  <c r="B13" i="19"/>
  <c r="E50" i="19" l="1"/>
  <c r="G44" i="19"/>
  <c r="B43" i="19"/>
  <c r="E42" i="19"/>
  <c r="G38" i="19" s="1"/>
  <c r="B38" i="19"/>
  <c r="G39" i="19"/>
  <c r="B25" i="19"/>
  <c r="G26" i="19"/>
  <c r="E30" i="19"/>
  <c r="G25" i="19" s="1"/>
  <c r="E32" i="19"/>
  <c r="E43" i="19" l="1"/>
  <c r="E38" i="19"/>
  <c r="G43" i="19"/>
  <c r="G50" i="19" s="1"/>
  <c r="G42" i="19"/>
  <c r="E25" i="19"/>
  <c r="G30" i="19"/>
  <c r="G32" i="19"/>
  <c r="B31" i="19"/>
  <c r="E37" i="19"/>
  <c r="E14" i="19"/>
  <c r="G14" i="19" s="1"/>
  <c r="G31" i="19" l="1"/>
  <c r="G37" i="19" s="1"/>
  <c r="E31" i="19"/>
  <c r="E13" i="19"/>
  <c r="A6" i="18"/>
  <c r="A7" i="18"/>
  <c r="A8" i="18"/>
  <c r="A9" i="18"/>
  <c r="A10" i="18"/>
  <c r="A11" i="18"/>
  <c r="A12" i="18"/>
  <c r="A13" i="18"/>
  <c r="A14" i="18"/>
  <c r="A15" i="18"/>
  <c r="A16" i="18"/>
  <c r="A17" i="18"/>
  <c r="A18" i="18"/>
  <c r="A19" i="18"/>
  <c r="F12" i="19"/>
  <c r="F25" i="19"/>
  <c r="F31" i="19"/>
  <c r="F38" i="19"/>
  <c r="F43" i="19"/>
  <c r="G13" i="19" l="1"/>
  <c r="C57" i="19" s="1"/>
  <c r="B12" i="19"/>
  <c r="E24" i="19"/>
  <c r="C53" i="19"/>
  <c r="F56" i="19"/>
  <c r="D11" i="24"/>
  <c r="C52" i="19" l="1"/>
  <c r="B52" i="19" s="1"/>
  <c r="E12" i="19"/>
  <c r="G12" i="19"/>
  <c r="G24" i="19" s="1"/>
  <c r="D8" i="20"/>
  <c r="C56" i="19"/>
  <c r="B56" i="19" s="1"/>
  <c r="C8" i="20"/>
  <c r="D5" i="20"/>
  <c r="D7" i="20"/>
  <c r="D6" i="20"/>
  <c r="P4" i="21"/>
  <c r="O4" i="21"/>
  <c r="N4" i="21"/>
  <c r="E9" i="17"/>
  <c r="E10" i="17"/>
  <c r="E11" i="17"/>
  <c r="E12" i="17"/>
  <c r="E13" i="17"/>
  <c r="E14" i="17"/>
  <c r="E15" i="17"/>
  <c r="E16" i="17"/>
  <c r="E17" i="17"/>
  <c r="B62" i="21"/>
  <c r="B63" i="21" s="1"/>
  <c r="B64" i="21" s="1"/>
  <c r="B65" i="21" s="1"/>
  <c r="B66" i="21" s="1"/>
  <c r="B67" i="21" s="1"/>
  <c r="B68" i="21" s="1"/>
  <c r="B69" i="21" s="1"/>
  <c r="B70" i="21" s="1"/>
  <c r="B71" i="21" s="1"/>
  <c r="B72" i="21" s="1"/>
  <c r="B73" i="21" s="1"/>
  <c r="B74" i="21" s="1"/>
  <c r="B75" i="21" s="1"/>
  <c r="B76" i="21" s="1"/>
  <c r="B77" i="21" s="1"/>
  <c r="B78" i="21" s="1"/>
  <c r="B79" i="21" s="1"/>
  <c r="B80" i="21" s="1"/>
  <c r="B81" i="21" s="1"/>
  <c r="B82" i="21" s="1"/>
  <c r="B83" i="21" s="1"/>
  <c r="B84" i="21" s="1"/>
  <c r="B85" i="21" s="1"/>
  <c r="B86" i="21" s="1"/>
  <c r="B87" i="21" s="1"/>
  <c r="B88" i="21" s="1"/>
  <c r="B89" i="21" s="1"/>
  <c r="B90" i="21" s="1"/>
  <c r="B91" i="21" s="1"/>
  <c r="B92" i="21" s="1"/>
  <c r="B93" i="21" s="1"/>
  <c r="B94" i="21" s="1"/>
  <c r="B95" i="21" s="1"/>
  <c r="B96" i="21" s="1"/>
  <c r="B97" i="21" s="1"/>
  <c r="B98" i="21" s="1"/>
  <c r="B99" i="21" s="1"/>
  <c r="B100" i="21" s="1"/>
  <c r="B101" i="21" s="1"/>
  <c r="F48" i="21"/>
  <c r="G48" i="21"/>
  <c r="H48" i="21"/>
  <c r="J48" i="21"/>
  <c r="G49" i="21"/>
  <c r="H49" i="21"/>
  <c r="J49" i="21"/>
  <c r="M8" i="17" l="1" a="1"/>
  <c r="M8" i="17" s="1"/>
  <c r="D4" i="20"/>
  <c r="E6" i="20"/>
  <c r="E4" i="23" l="1"/>
  <c r="D9" i="20"/>
  <c r="K4" i="21"/>
  <c r="E5" i="20"/>
  <c r="E4" i="20"/>
  <c r="B4" i="25" l="1"/>
  <c r="B5" i="25"/>
  <c r="B9" i="25"/>
  <c r="B13" i="25"/>
  <c r="B6" i="25"/>
  <c r="B10" i="25"/>
  <c r="B14" i="25"/>
  <c r="B12" i="25"/>
  <c r="B3" i="25"/>
  <c r="B7" i="25"/>
  <c r="B11" i="25"/>
  <c r="B15" i="25"/>
  <c r="B8" i="25"/>
  <c r="B16" i="25"/>
  <c r="B2" i="25"/>
  <c r="C9" i="20"/>
  <c r="E8" i="20"/>
  <c r="C7" i="20"/>
  <c r="E7" i="20"/>
  <c r="C6" i="20"/>
  <c r="C5" i="20"/>
  <c r="C10" i="20"/>
  <c r="E10" i="20" l="1"/>
  <c r="F6" i="20" s="1"/>
  <c r="C4" i="20"/>
  <c r="F5" i="20" l="1"/>
  <c r="F4" i="20"/>
  <c r="F7" i="20"/>
  <c r="F8" i="20"/>
  <c r="J17" i="1"/>
  <c r="D17" i="1"/>
  <c r="A3" i="16"/>
  <c r="C17" i="1"/>
  <c r="E17" i="1"/>
  <c r="F17" i="1"/>
  <c r="G17" i="1"/>
  <c r="H17" i="1"/>
  <c r="I17" i="1"/>
  <c r="K17" i="1"/>
  <c r="L17" i="1"/>
  <c r="M17" i="1"/>
  <c r="N17" i="1"/>
  <c r="O17" i="1"/>
  <c r="P17" i="1"/>
  <c r="Q17" i="1"/>
  <c r="AG7" i="5"/>
  <c r="AG8" i="5" s="1"/>
  <c r="AL6" i="5"/>
  <c r="AL7" i="5" s="1"/>
  <c r="A17" i="16"/>
  <c r="A16" i="16"/>
  <c r="A15" i="16"/>
  <c r="A14" i="16"/>
  <c r="A13" i="16"/>
  <c r="A12" i="16"/>
  <c r="A11" i="16"/>
  <c r="A10" i="16"/>
  <c r="A9" i="16"/>
  <c r="A8" i="16"/>
  <c r="A7" i="16"/>
  <c r="A6" i="16"/>
  <c r="A5" i="16"/>
  <c r="A4" i="16"/>
  <c r="A17" i="15"/>
  <c r="A16" i="15"/>
  <c r="A15" i="15"/>
  <c r="A14" i="15"/>
  <c r="A13" i="15"/>
  <c r="A12" i="15"/>
  <c r="A11" i="15"/>
  <c r="A10" i="15"/>
  <c r="A9" i="15"/>
  <c r="A8" i="15"/>
  <c r="A7" i="15"/>
  <c r="A6" i="15"/>
  <c r="A5" i="15"/>
  <c r="A4" i="15"/>
  <c r="A3" i="15"/>
  <c r="A17" i="14"/>
  <c r="A16" i="14"/>
  <c r="A15" i="14"/>
  <c r="A14" i="14"/>
  <c r="A13" i="14"/>
  <c r="A12" i="14"/>
  <c r="A11" i="14"/>
  <c r="A10" i="14"/>
  <c r="A9" i="14"/>
  <c r="A8" i="14"/>
  <c r="A7" i="14"/>
  <c r="A6" i="14"/>
  <c r="A5" i="14"/>
  <c r="A4" i="14"/>
  <c r="A3" i="14"/>
  <c r="A17" i="13"/>
  <c r="A16" i="13"/>
  <c r="A15" i="13"/>
  <c r="A14" i="13"/>
  <c r="A13" i="13"/>
  <c r="A12" i="13"/>
  <c r="A11" i="13"/>
  <c r="A10" i="13"/>
  <c r="A9" i="13"/>
  <c r="A8" i="13"/>
  <c r="A7" i="13"/>
  <c r="A6" i="13"/>
  <c r="A5" i="13"/>
  <c r="A4" i="13"/>
  <c r="A3" i="13"/>
  <c r="A17" i="12"/>
  <c r="A16" i="12"/>
  <c r="A15" i="12"/>
  <c r="A14" i="12"/>
  <c r="A13" i="12"/>
  <c r="A12" i="12"/>
  <c r="A11" i="12"/>
  <c r="A10" i="12"/>
  <c r="A9" i="12"/>
  <c r="A8" i="12"/>
  <c r="A7" i="12"/>
  <c r="A6" i="12"/>
  <c r="A5" i="12"/>
  <c r="A4" i="12"/>
  <c r="A3" i="12"/>
  <c r="A17" i="11"/>
  <c r="A16" i="11"/>
  <c r="A15" i="11"/>
  <c r="A14" i="11"/>
  <c r="A13" i="11"/>
  <c r="A12" i="11"/>
  <c r="A11" i="11"/>
  <c r="A10" i="11"/>
  <c r="A9" i="11"/>
  <c r="A8" i="11"/>
  <c r="A7" i="11"/>
  <c r="A6" i="11"/>
  <c r="A5" i="11"/>
  <c r="A4" i="11"/>
  <c r="A3" i="11"/>
  <c r="A17" i="10"/>
  <c r="A16" i="10"/>
  <c r="A15" i="10"/>
  <c r="A14" i="10"/>
  <c r="A13" i="10"/>
  <c r="A12" i="10"/>
  <c r="A11" i="10"/>
  <c r="A10" i="10"/>
  <c r="A9" i="10"/>
  <c r="A8" i="10"/>
  <c r="A7" i="10"/>
  <c r="A6" i="10"/>
  <c r="A5" i="10"/>
  <c r="A4" i="10"/>
  <c r="A3" i="10"/>
  <c r="A17" i="9"/>
  <c r="A16" i="9"/>
  <c r="A15" i="9"/>
  <c r="A14" i="9"/>
  <c r="A13" i="9"/>
  <c r="A12" i="9"/>
  <c r="A11" i="9"/>
  <c r="A10" i="9"/>
  <c r="A9" i="9"/>
  <c r="A8" i="9"/>
  <c r="A7" i="9"/>
  <c r="A6" i="9"/>
  <c r="A5" i="9"/>
  <c r="A4" i="9"/>
  <c r="A3" i="9"/>
  <c r="A17" i="8"/>
  <c r="A16" i="8"/>
  <c r="A15" i="8"/>
  <c r="A14" i="8"/>
  <c r="A13" i="8"/>
  <c r="A12" i="8"/>
  <c r="A11" i="8"/>
  <c r="A10" i="8"/>
  <c r="A9" i="8"/>
  <c r="A8" i="8"/>
  <c r="A7" i="8"/>
  <c r="A6" i="8"/>
  <c r="A5" i="8"/>
  <c r="A4" i="8"/>
  <c r="A3" i="8"/>
  <c r="A17" i="7"/>
  <c r="A16" i="7"/>
  <c r="A15" i="7"/>
  <c r="A14" i="7"/>
  <c r="A13" i="7"/>
  <c r="A12" i="7"/>
  <c r="A11" i="7"/>
  <c r="A10" i="7"/>
  <c r="A9" i="7"/>
  <c r="A8" i="7"/>
  <c r="A7" i="7"/>
  <c r="A6" i="7"/>
  <c r="A5" i="7"/>
  <c r="A4" i="7"/>
  <c r="A3" i="7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A17" i="5"/>
  <c r="A16" i="5"/>
  <c r="A15" i="5"/>
  <c r="A14" i="5"/>
  <c r="A13" i="5"/>
  <c r="A12" i="5"/>
  <c r="A11" i="5"/>
  <c r="A10" i="5"/>
  <c r="A9" i="5"/>
  <c r="A8" i="5"/>
  <c r="A7" i="5"/>
  <c r="A6" i="5"/>
  <c r="A5" i="5"/>
  <c r="A4" i="5"/>
  <c r="A3" i="5"/>
  <c r="A17" i="4"/>
  <c r="A16" i="4"/>
  <c r="A15" i="4"/>
  <c r="A14" i="4"/>
  <c r="A13" i="4"/>
  <c r="A12" i="4"/>
  <c r="A11" i="4"/>
  <c r="A10" i="4"/>
  <c r="A9" i="4"/>
  <c r="A8" i="4"/>
  <c r="A7" i="4"/>
  <c r="A6" i="4"/>
  <c r="A5" i="4"/>
  <c r="A4" i="4"/>
  <c r="A3" i="4"/>
  <c r="A17" i="3"/>
  <c r="A16" i="3"/>
  <c r="A15" i="3"/>
  <c r="A14" i="3"/>
  <c r="A13" i="3"/>
  <c r="A12" i="3"/>
  <c r="A11" i="3"/>
  <c r="A10" i="3"/>
  <c r="A9" i="3"/>
  <c r="A8" i="3"/>
  <c r="A7" i="3"/>
  <c r="A6" i="3"/>
  <c r="A5" i="3"/>
  <c r="A4" i="3"/>
  <c r="A3" i="3"/>
  <c r="A17" i="2"/>
  <c r="A16" i="2"/>
  <c r="A15" i="2"/>
  <c r="A14" i="2"/>
  <c r="A13" i="2"/>
  <c r="A12" i="2"/>
  <c r="A11" i="2"/>
  <c r="A10" i="2"/>
  <c r="A9" i="2"/>
  <c r="A8" i="2"/>
  <c r="A7" i="2"/>
  <c r="A6" i="2"/>
  <c r="A5" i="2"/>
  <c r="A4" i="2"/>
  <c r="A3" i="2"/>
  <c r="M4" i="21"/>
  <c r="D10" i="20" l="1"/>
  <c r="L4" i="21" s="1"/>
  <c r="F10" i="20"/>
  <c r="B5" i="8" a="1"/>
  <c r="B5" i="8" s="1"/>
  <c r="C5" i="8" s="1"/>
  <c r="E5" i="8" s="1"/>
  <c r="B4" i="9" a="1"/>
  <c r="B4" i="9" s="1"/>
  <c r="D4" i="9" s="1" a="1"/>
  <c r="D4" i="9" s="1"/>
  <c r="B6" i="14" a="1"/>
  <c r="B6" i="14" s="1"/>
  <c r="C6" i="14" s="1"/>
  <c r="E6" i="14" s="1"/>
  <c r="B4" i="7" a="1"/>
  <c r="B4" i="7" s="1"/>
  <c r="D4" i="7" s="1" a="1"/>
  <c r="D4" i="7" s="1"/>
  <c r="B5" i="12" a="1"/>
  <c r="B5" i="12" s="1"/>
  <c r="C5" i="12" s="1"/>
  <c r="E5" i="12" s="1"/>
  <c r="B9" i="8" a="1"/>
  <c r="B9" i="8" s="1"/>
  <c r="C9" i="8" s="1"/>
  <c r="E9" i="8" s="1"/>
  <c r="B4" i="15" a="1"/>
  <c r="B4" i="15" s="1"/>
  <c r="C4" i="15" s="1"/>
  <c r="E4" i="15" s="1"/>
  <c r="B7" i="16" a="1"/>
  <c r="B7" i="16" s="1"/>
  <c r="B5" i="16" a="1"/>
  <c r="B5" i="16" s="1"/>
  <c r="B12" i="16" a="1"/>
  <c r="B12" i="16" s="1"/>
  <c r="B17" i="16" a="1"/>
  <c r="B17" i="16" s="1"/>
  <c r="D17" i="16" s="1" a="1"/>
  <c r="D17" i="16" s="1"/>
  <c r="B14" i="16" a="1"/>
  <c r="B14" i="16" s="1"/>
  <c r="B9" i="16" a="1"/>
  <c r="B9" i="16" s="1"/>
  <c r="B6" i="16" a="1"/>
  <c r="B6" i="16" s="1"/>
  <c r="B15" i="16" a="1"/>
  <c r="B15" i="16" s="1"/>
  <c r="B4" i="16" a="1"/>
  <c r="B4" i="16" s="1"/>
  <c r="B16" i="16" a="1"/>
  <c r="B16" i="16" s="1"/>
  <c r="B11" i="16" a="1"/>
  <c r="B11" i="16" s="1"/>
  <c r="B8" i="16" a="1"/>
  <c r="B8" i="16" s="1"/>
  <c r="B3" i="16" a="1"/>
  <c r="B3" i="16" s="1"/>
  <c r="C3" i="16" s="1"/>
  <c r="B13" i="16" a="1"/>
  <c r="B13" i="16" s="1"/>
  <c r="B10" i="16" a="1"/>
  <c r="B10" i="16" s="1"/>
  <c r="B11" i="15" a="1"/>
  <c r="B11" i="15" s="1"/>
  <c r="C11" i="15" s="1"/>
  <c r="E11" i="15" s="1"/>
  <c r="B14" i="15" a="1"/>
  <c r="B14" i="15" s="1"/>
  <c r="B9" i="15" a="1"/>
  <c r="B9" i="15" s="1"/>
  <c r="B8" i="15" a="1"/>
  <c r="B8" i="15" s="1"/>
  <c r="B3" i="15" a="1"/>
  <c r="B3" i="15" s="1"/>
  <c r="B13" i="15" a="1"/>
  <c r="B13" i="15" s="1"/>
  <c r="B10" i="15" a="1"/>
  <c r="B10" i="15" s="1"/>
  <c r="B5" i="15" a="1"/>
  <c r="B5" i="15" s="1"/>
  <c r="B17" i="15" a="1"/>
  <c r="B17" i="15" s="1"/>
  <c r="B6" i="15" a="1"/>
  <c r="B6" i="15" s="1"/>
  <c r="B16" i="15" a="1"/>
  <c r="B16" i="15" s="1"/>
  <c r="B15" i="15" a="1"/>
  <c r="B15" i="15" s="1"/>
  <c r="B12" i="15" a="1"/>
  <c r="B12" i="15" s="1"/>
  <c r="B7" i="15" a="1"/>
  <c r="B7" i="15" s="1"/>
  <c r="B8" i="14" a="1"/>
  <c r="B8" i="14" s="1"/>
  <c r="C8" i="14" s="1"/>
  <c r="E8" i="14" s="1"/>
  <c r="B3" i="14" a="1"/>
  <c r="B3" i="14" s="1"/>
  <c r="B10" i="14" a="1"/>
  <c r="B10" i="14" s="1"/>
  <c r="B15" i="14" a="1"/>
  <c r="B15" i="14" s="1"/>
  <c r="B12" i="14" a="1"/>
  <c r="B12" i="14" s="1"/>
  <c r="B7" i="14" a="1"/>
  <c r="B7" i="14" s="1"/>
  <c r="B4" i="14" a="1"/>
  <c r="B4" i="14" s="1"/>
  <c r="B13" i="14" a="1"/>
  <c r="B13" i="14" s="1"/>
  <c r="B5" i="14" a="1"/>
  <c r="B5" i="14" s="1"/>
  <c r="B17" i="14" a="1"/>
  <c r="B17" i="14" s="1"/>
  <c r="B14" i="14" a="1"/>
  <c r="B14" i="14" s="1"/>
  <c r="B9" i="14" a="1"/>
  <c r="B9" i="14" s="1"/>
  <c r="B16" i="14" a="1"/>
  <c r="B16" i="14" s="1"/>
  <c r="B11" i="14" a="1"/>
  <c r="B11" i="14" s="1"/>
  <c r="B4" i="13" a="1"/>
  <c r="B4" i="13" s="1"/>
  <c r="C4" i="13" s="1"/>
  <c r="E4" i="13" s="1"/>
  <c r="B8" i="13" a="1"/>
  <c r="B8" i="13" s="1"/>
  <c r="B3" i="13" a="1"/>
  <c r="B3" i="13" s="1"/>
  <c r="B13" i="13" a="1"/>
  <c r="B13" i="13" s="1"/>
  <c r="B10" i="13" a="1"/>
  <c r="B10" i="13" s="1"/>
  <c r="B5" i="13" a="1"/>
  <c r="B5" i="13" s="1"/>
  <c r="B16" i="13" a="1"/>
  <c r="B16" i="13" s="1"/>
  <c r="B11" i="13" a="1"/>
  <c r="B11" i="13" s="1"/>
  <c r="B15" i="13" a="1"/>
  <c r="B15" i="13" s="1"/>
  <c r="B12" i="13" a="1"/>
  <c r="B12" i="13" s="1"/>
  <c r="B7" i="13" a="1"/>
  <c r="B7" i="13" s="1"/>
  <c r="B17" i="13" a="1"/>
  <c r="B17" i="13" s="1"/>
  <c r="B14" i="13" a="1"/>
  <c r="B14" i="13" s="1"/>
  <c r="B9" i="13" a="1"/>
  <c r="B9" i="13" s="1"/>
  <c r="B6" i="13" a="1"/>
  <c r="B6" i="13" s="1"/>
  <c r="B9" i="12" a="1"/>
  <c r="B9" i="12" s="1"/>
  <c r="D9" i="12" s="1" a="1"/>
  <c r="D9" i="12" s="1"/>
  <c r="B12" i="12" a="1"/>
  <c r="B12" i="12" s="1"/>
  <c r="B4" i="12" a="1"/>
  <c r="B4" i="12" s="1"/>
  <c r="B17" i="12" a="1"/>
  <c r="B17" i="12" s="1"/>
  <c r="B6" i="12" a="1"/>
  <c r="B6" i="12" s="1"/>
  <c r="B11" i="12" a="1"/>
  <c r="B11" i="12" s="1"/>
  <c r="B15" i="12" a="1"/>
  <c r="B15" i="12" s="1"/>
  <c r="B7" i="12" a="1"/>
  <c r="B7" i="12" s="1"/>
  <c r="B14" i="12" a="1"/>
  <c r="B14" i="12" s="1"/>
  <c r="B16" i="12" a="1"/>
  <c r="B16" i="12" s="1"/>
  <c r="B8" i="12" a="1"/>
  <c r="B8" i="12" s="1"/>
  <c r="B3" i="12" a="1"/>
  <c r="B3" i="12" s="1"/>
  <c r="B13" i="12" a="1"/>
  <c r="B13" i="12" s="1"/>
  <c r="B10" i="12" a="1"/>
  <c r="B10" i="12" s="1"/>
  <c r="B14" i="11" a="1"/>
  <c r="B14" i="11" s="1"/>
  <c r="C14" i="11" s="1"/>
  <c r="E14" i="11" s="1"/>
  <c r="B4" i="11" a="1"/>
  <c r="B4" i="11" s="1"/>
  <c r="D4" i="11" s="1" a="1"/>
  <c r="D4" i="11" s="1"/>
  <c r="B17" i="11" a="1"/>
  <c r="B17" i="11" s="1"/>
  <c r="B6" i="11" a="1"/>
  <c r="B6" i="11" s="1"/>
  <c r="B16" i="11" a="1"/>
  <c r="B16" i="11" s="1"/>
  <c r="B11" i="11" a="1"/>
  <c r="B11" i="11" s="1"/>
  <c r="B8" i="11" a="1"/>
  <c r="B8" i="11" s="1"/>
  <c r="B9" i="11" a="1"/>
  <c r="B9" i="11" s="1"/>
  <c r="B3" i="11" a="1"/>
  <c r="B3" i="11" s="1"/>
  <c r="B13" i="11" a="1"/>
  <c r="B13" i="11" s="1"/>
  <c r="B10" i="11" a="1"/>
  <c r="B10" i="11" s="1"/>
  <c r="B5" i="11" a="1"/>
  <c r="B5" i="11" s="1"/>
  <c r="B15" i="11" a="1"/>
  <c r="B15" i="11" s="1"/>
  <c r="B12" i="11" a="1"/>
  <c r="B12" i="11" s="1"/>
  <c r="B7" i="11" a="1"/>
  <c r="B7" i="11" s="1"/>
  <c r="B11" i="10" a="1"/>
  <c r="B11" i="10" s="1"/>
  <c r="C11" i="10" s="1"/>
  <c r="E11" i="10" s="1"/>
  <c r="B6" i="10" a="1"/>
  <c r="B6" i="10" s="1"/>
  <c r="C6" i="10" s="1"/>
  <c r="E6" i="10" s="1"/>
  <c r="B16" i="10" a="1"/>
  <c r="B16" i="10" s="1"/>
  <c r="B3" i="10" a="1"/>
  <c r="B3" i="10" s="1"/>
  <c r="B13" i="10" a="1"/>
  <c r="B13" i="10" s="1"/>
  <c r="B10" i="10" a="1"/>
  <c r="B10" i="10" s="1"/>
  <c r="B5" i="10" a="1"/>
  <c r="B5" i="10" s="1"/>
  <c r="B8" i="10" a="1"/>
  <c r="B8" i="10" s="1"/>
  <c r="B15" i="10" a="1"/>
  <c r="B15" i="10" s="1"/>
  <c r="B12" i="10" a="1"/>
  <c r="B12" i="10" s="1"/>
  <c r="B7" i="10" a="1"/>
  <c r="B7" i="10" s="1"/>
  <c r="B4" i="10" a="1"/>
  <c r="B4" i="10" s="1"/>
  <c r="B17" i="10" a="1"/>
  <c r="B17" i="10" s="1"/>
  <c r="B14" i="10" a="1"/>
  <c r="B14" i="10" s="1"/>
  <c r="B9" i="10" a="1"/>
  <c r="B9" i="10" s="1"/>
  <c r="B8" i="9" a="1"/>
  <c r="B8" i="9" s="1"/>
  <c r="C8" i="9" s="1"/>
  <c r="E8" i="9" s="1"/>
  <c r="B3" i="9" a="1"/>
  <c r="B3" i="9" s="1"/>
  <c r="B10" i="9" a="1"/>
  <c r="B10" i="9" s="1"/>
  <c r="B12" i="9" a="1"/>
  <c r="B12" i="9" s="1"/>
  <c r="B7" i="9" a="1"/>
  <c r="B7" i="9" s="1"/>
  <c r="B17" i="9" a="1"/>
  <c r="B17" i="9" s="1"/>
  <c r="B14" i="9" a="1"/>
  <c r="B14" i="9" s="1"/>
  <c r="B9" i="9" a="1"/>
  <c r="B9" i="9" s="1"/>
  <c r="B6" i="9" a="1"/>
  <c r="B6" i="9" s="1"/>
  <c r="B13" i="9" a="1"/>
  <c r="B13" i="9" s="1"/>
  <c r="B5" i="9" a="1"/>
  <c r="B5" i="9" s="1"/>
  <c r="B15" i="9" a="1"/>
  <c r="B15" i="9" s="1"/>
  <c r="B16" i="9" a="1"/>
  <c r="B16" i="9" s="1"/>
  <c r="B11" i="9" a="1"/>
  <c r="B11" i="9" s="1"/>
  <c r="B15" i="8" a="1"/>
  <c r="B15" i="8" s="1"/>
  <c r="B12" i="8" a="1"/>
  <c r="B12" i="8" s="1"/>
  <c r="B7" i="8" a="1"/>
  <c r="B7" i="8" s="1"/>
  <c r="B4" i="8" a="1"/>
  <c r="B4" i="8" s="1"/>
  <c r="B17" i="8" a="1"/>
  <c r="B17" i="8" s="1"/>
  <c r="B6" i="8" a="1"/>
  <c r="B6" i="8" s="1"/>
  <c r="B16" i="8" a="1"/>
  <c r="B16" i="8" s="1"/>
  <c r="B11" i="8" a="1"/>
  <c r="B11" i="8" s="1"/>
  <c r="B8" i="8" a="1"/>
  <c r="B8" i="8" s="1"/>
  <c r="B14" i="8" a="1"/>
  <c r="B14" i="8" s="1"/>
  <c r="B3" i="8" a="1"/>
  <c r="B3" i="8" s="1"/>
  <c r="B13" i="8" a="1"/>
  <c r="B13" i="8" s="1"/>
  <c r="B10" i="8" a="1"/>
  <c r="B10" i="8" s="1"/>
  <c r="B17" i="7" a="1"/>
  <c r="B17" i="7" s="1"/>
  <c r="B14" i="7" a="1"/>
  <c r="B14" i="7" s="1"/>
  <c r="B9" i="7" a="1"/>
  <c r="B9" i="7" s="1"/>
  <c r="B6" i="7" a="1"/>
  <c r="B6" i="7" s="1"/>
  <c r="B16" i="7" a="1"/>
  <c r="B16" i="7" s="1"/>
  <c r="B11" i="7" a="1"/>
  <c r="B11" i="7" s="1"/>
  <c r="B8" i="7" a="1"/>
  <c r="B8" i="7" s="1"/>
  <c r="B3" i="7" a="1"/>
  <c r="B3" i="7" s="1"/>
  <c r="B13" i="7" a="1"/>
  <c r="B13" i="7" s="1"/>
  <c r="B10" i="7" a="1"/>
  <c r="B10" i="7" s="1"/>
  <c r="B5" i="7" a="1"/>
  <c r="B5" i="7" s="1"/>
  <c r="B15" i="7" a="1"/>
  <c r="B15" i="7" s="1"/>
  <c r="B12" i="7" a="1"/>
  <c r="B12" i="7" s="1"/>
  <c r="B7" i="7" a="1"/>
  <c r="B7" i="7" s="1"/>
  <c r="B12" i="6" a="1"/>
  <c r="B12" i="6" s="1"/>
  <c r="C12" i="6" s="1"/>
  <c r="E12" i="6" s="1"/>
  <c r="B17" i="6" a="1"/>
  <c r="B17" i="6" s="1"/>
  <c r="B14" i="6" a="1"/>
  <c r="B14" i="6" s="1"/>
  <c r="B9" i="6" a="1"/>
  <c r="B9" i="6" s="1"/>
  <c r="B7" i="6" a="1"/>
  <c r="B7" i="6" s="1"/>
  <c r="B5" i="6" a="1"/>
  <c r="B5" i="6" s="1"/>
  <c r="B16" i="6" a="1"/>
  <c r="B16" i="6" s="1"/>
  <c r="B11" i="6" a="1"/>
  <c r="B11" i="6" s="1"/>
  <c r="B3" i="6" a="1"/>
  <c r="B3" i="6" s="1"/>
  <c r="B13" i="6" a="1"/>
  <c r="B13" i="6" s="1"/>
  <c r="B10" i="6" a="1"/>
  <c r="B10" i="6" s="1"/>
  <c r="B8" i="6" a="1"/>
  <c r="B8" i="6" s="1"/>
  <c r="B6" i="6" a="1"/>
  <c r="B6" i="6" s="1"/>
  <c r="B4" i="6" a="1"/>
  <c r="B4" i="6" s="1"/>
  <c r="B15" i="6" a="1"/>
  <c r="B15" i="6" s="1"/>
  <c r="B8" i="5" a="1"/>
  <c r="B8" i="5" s="1"/>
  <c r="D8" i="5" s="1" a="1"/>
  <c r="D8" i="5" s="1"/>
  <c r="B13" i="5" a="1"/>
  <c r="B13" i="5" s="1"/>
  <c r="D13" i="5" s="1" a="1"/>
  <c r="D13" i="5" s="1"/>
  <c r="B10" i="5" a="1"/>
  <c r="B10" i="5" s="1"/>
  <c r="D10" i="5" s="1" a="1"/>
  <c r="D10" i="5" s="1"/>
  <c r="B5" i="5" a="1"/>
  <c r="B5" i="5" s="1"/>
  <c r="D5" i="5" s="1" a="1"/>
  <c r="D5" i="5" s="1"/>
  <c r="B15" i="5" a="1"/>
  <c r="B15" i="5" s="1"/>
  <c r="D15" i="5" s="1" a="1"/>
  <c r="D15" i="5" s="1"/>
  <c r="B12" i="5" a="1"/>
  <c r="B12" i="5" s="1"/>
  <c r="D12" i="5" s="1" a="1"/>
  <c r="D12" i="5" s="1"/>
  <c r="B7" i="5" a="1"/>
  <c r="B7" i="5" s="1"/>
  <c r="D7" i="5" s="1" a="1"/>
  <c r="D7" i="5" s="1"/>
  <c r="B4" i="5" a="1"/>
  <c r="B4" i="5" s="1"/>
  <c r="D4" i="5" s="1" a="1"/>
  <c r="D4" i="5" s="1"/>
  <c r="B17" i="5" a="1"/>
  <c r="B17" i="5" s="1"/>
  <c r="D17" i="5" s="1" a="1"/>
  <c r="D17" i="5" s="1"/>
  <c r="B14" i="5" a="1"/>
  <c r="B14" i="5" s="1"/>
  <c r="D14" i="5" s="1" a="1"/>
  <c r="D14" i="5" s="1"/>
  <c r="B9" i="5" a="1"/>
  <c r="B9" i="5" s="1"/>
  <c r="D9" i="5" s="1" a="1"/>
  <c r="D9" i="5" s="1"/>
  <c r="B6" i="5" a="1"/>
  <c r="B6" i="5" s="1"/>
  <c r="D6" i="5" s="1" a="1"/>
  <c r="D6" i="5" s="1"/>
  <c r="B3" i="5" a="1"/>
  <c r="B3" i="5" s="1"/>
  <c r="D3" i="5" s="1" a="1"/>
  <c r="D3" i="5" s="1"/>
  <c r="B16" i="5" a="1"/>
  <c r="B16" i="5" s="1"/>
  <c r="D16" i="5" s="1" a="1"/>
  <c r="D16" i="5" s="1"/>
  <c r="B11" i="5" a="1"/>
  <c r="B11" i="5" s="1"/>
  <c r="D11" i="5" s="1" a="1"/>
  <c r="D11" i="5" s="1"/>
  <c r="B4" i="4" a="1"/>
  <c r="B4" i="4" s="1"/>
  <c r="C4" i="4" s="1"/>
  <c r="E4" i="4" s="1"/>
  <c r="B14" i="4" a="1"/>
  <c r="B14" i="4" s="1"/>
  <c r="D14" i="4" s="1" a="1"/>
  <c r="D14" i="4" s="1"/>
  <c r="B9" i="4" a="1"/>
  <c r="B9" i="4" s="1"/>
  <c r="B6" i="4" a="1"/>
  <c r="B6" i="4" s="1"/>
  <c r="B17" i="4" a="1"/>
  <c r="B17" i="4" s="1"/>
  <c r="B8" i="4" a="1"/>
  <c r="B8" i="4" s="1"/>
  <c r="D8" i="4" s="1" a="1"/>
  <c r="D8" i="4" s="1"/>
  <c r="B3" i="4" a="1"/>
  <c r="B3" i="4" s="1"/>
  <c r="D3" i="4" s="1" a="1"/>
  <c r="D3" i="4" s="1"/>
  <c r="B7" i="3" a="1"/>
  <c r="B7" i="3" s="1"/>
  <c r="D7" i="3" s="1" a="1"/>
  <c r="D7" i="3" s="1"/>
  <c r="B3" i="3" a="1"/>
  <c r="B3" i="3" s="1"/>
  <c r="D3" i="3" s="1" a="1"/>
  <c r="D3" i="3" s="1"/>
  <c r="B6" i="3" a="1"/>
  <c r="B6" i="3" s="1"/>
  <c r="D6" i="3" s="1" a="1"/>
  <c r="D6" i="3" s="1"/>
  <c r="B17" i="3" a="1"/>
  <c r="B17" i="3" s="1"/>
  <c r="D17" i="3" s="1" a="1"/>
  <c r="D17" i="3" s="1"/>
  <c r="B5" i="3" a="1"/>
  <c r="B5" i="3" s="1"/>
  <c r="C5" i="3" s="1"/>
  <c r="E5" i="3" s="1"/>
  <c r="B16" i="3" a="1"/>
  <c r="B16" i="3" s="1"/>
  <c r="C16" i="3" s="1"/>
  <c r="E16" i="3" s="1"/>
  <c r="B12" i="3" a="1"/>
  <c r="B12" i="3" s="1"/>
  <c r="C12" i="3" s="1"/>
  <c r="E12" i="3" s="1"/>
  <c r="B8" i="3" a="1"/>
  <c r="B8" i="3" s="1"/>
  <c r="D8" i="3" s="1" a="1"/>
  <c r="D8" i="3" s="1"/>
  <c r="B4" i="3" a="1"/>
  <c r="B4" i="3" s="1"/>
  <c r="C4" i="3" s="1"/>
  <c r="E4" i="3" s="1"/>
  <c r="B14" i="3" a="1"/>
  <c r="B14" i="3" s="1"/>
  <c r="C14" i="3" s="1"/>
  <c r="E14" i="3" s="1"/>
  <c r="B10" i="3" a="1"/>
  <c r="B10" i="3" s="1"/>
  <c r="C10" i="3" s="1"/>
  <c r="E10" i="3" s="1"/>
  <c r="B13" i="3" a="1"/>
  <c r="B13" i="3" s="1"/>
  <c r="C13" i="3" s="1"/>
  <c r="E13" i="3" s="1"/>
  <c r="B9" i="3" a="1"/>
  <c r="B9" i="3" s="1"/>
  <c r="C9" i="3" s="1"/>
  <c r="E9" i="3" s="1"/>
  <c r="B15" i="3" a="1"/>
  <c r="B15" i="3" s="1"/>
  <c r="D15" i="3" s="1" a="1"/>
  <c r="D15" i="3" s="1"/>
  <c r="B11" i="3" a="1"/>
  <c r="B11" i="3" s="1"/>
  <c r="C11" i="3" s="1"/>
  <c r="E11" i="3" s="1"/>
  <c r="B3" i="2" a="1"/>
  <c r="B3" i="2" s="1"/>
  <c r="B8" i="2" a="1"/>
  <c r="B8" i="2" s="1"/>
  <c r="D8" i="2" s="1" a="1"/>
  <c r="D8" i="2" s="1"/>
  <c r="B4" i="2" a="1"/>
  <c r="B4" i="2" s="1"/>
  <c r="D4" i="2" s="1" a="1"/>
  <c r="D4" i="2" s="1"/>
  <c r="B15" i="2" a="1"/>
  <c r="B15" i="2" s="1"/>
  <c r="C15" i="2" s="1"/>
  <c r="E15" i="2" s="1"/>
  <c r="B12" i="2" a="1"/>
  <c r="B12" i="2" s="1"/>
  <c r="D12" i="2" s="1" a="1"/>
  <c r="D12" i="2" s="1"/>
  <c r="B5" i="2" a="1"/>
  <c r="B5" i="2" s="1"/>
  <c r="D5" i="2" s="1" a="1"/>
  <c r="D5" i="2" s="1"/>
  <c r="B7" i="2" a="1"/>
  <c r="B7" i="2" s="1"/>
  <c r="C7" i="2" s="1"/>
  <c r="E7" i="2" s="1"/>
  <c r="C13" i="5"/>
  <c r="E13" i="5" s="1"/>
  <c r="B16" i="4" a="1"/>
  <c r="B16" i="4" s="1"/>
  <c r="B11" i="4" a="1"/>
  <c r="B11" i="4" s="1"/>
  <c r="B13" i="4" a="1"/>
  <c r="B13" i="4" s="1"/>
  <c r="B10" i="4" a="1"/>
  <c r="B10" i="4" s="1"/>
  <c r="B5" i="4" a="1"/>
  <c r="B5" i="4" s="1"/>
  <c r="B15" i="4" a="1"/>
  <c r="B15" i="4" s="1"/>
  <c r="B12" i="4" a="1"/>
  <c r="B12" i="4" s="1"/>
  <c r="B7" i="4" a="1"/>
  <c r="B7" i="4" s="1"/>
  <c r="B14" i="2" a="1"/>
  <c r="B14" i="2" s="1"/>
  <c r="D14" i="2" s="1" a="1"/>
  <c r="D14" i="2" s="1"/>
  <c r="B13" i="2" a="1"/>
  <c r="B13" i="2" s="1"/>
  <c r="D13" i="2" s="1" a="1"/>
  <c r="D13" i="2" s="1"/>
  <c r="B6" i="2" a="1"/>
  <c r="B6" i="2" s="1"/>
  <c r="D6" i="2" s="1" a="1"/>
  <c r="D6" i="2" s="1"/>
  <c r="B17" i="2" a="1"/>
  <c r="B17" i="2" s="1"/>
  <c r="C17" i="2" s="1"/>
  <c r="E17" i="2" s="1"/>
  <c r="B16" i="2" a="1"/>
  <c r="B16" i="2" s="1"/>
  <c r="D16" i="2" s="1" a="1"/>
  <c r="D16" i="2" s="1"/>
  <c r="B10" i="2" a="1"/>
  <c r="B10" i="2" s="1"/>
  <c r="C10" i="2" s="1"/>
  <c r="E10" i="2" s="1"/>
  <c r="B11" i="2" a="1"/>
  <c r="B11" i="2" s="1"/>
  <c r="C11" i="2" s="1"/>
  <c r="E11" i="2" s="1"/>
  <c r="B9" i="2" a="1"/>
  <c r="B9" i="2" s="1"/>
  <c r="AL8" i="5"/>
  <c r="AG9" i="5"/>
  <c r="D9" i="8" l="1" a="1"/>
  <c r="D9" i="8" s="1"/>
  <c r="D14" i="3" a="1"/>
  <c r="D14" i="3" s="1"/>
  <c r="C3" i="3"/>
  <c r="E3" i="3" s="1"/>
  <c r="E3" i="16"/>
  <c r="C4" i="9"/>
  <c r="E4" i="9" s="1"/>
  <c r="E31" i="21"/>
  <c r="F57" i="21" s="1"/>
  <c r="D57" i="21" s="1"/>
  <c r="C4" i="21"/>
  <c r="C14" i="5"/>
  <c r="E14" i="5" s="1"/>
  <c r="D8" i="9" a="1"/>
  <c r="D8" i="9" s="1"/>
  <c r="D5" i="12" a="1"/>
  <c r="D5" i="12" s="1"/>
  <c r="D10" i="3" a="1"/>
  <c r="D10" i="3" s="1"/>
  <c r="D5" i="8" a="1"/>
  <c r="D5" i="8" s="1"/>
  <c r="C17" i="5"/>
  <c r="E17" i="5" s="1"/>
  <c r="C8" i="5"/>
  <c r="E8" i="5" s="1"/>
  <c r="C4" i="7"/>
  <c r="E4" i="7" s="1"/>
  <c r="D12" i="3" a="1"/>
  <c r="D12" i="3" s="1"/>
  <c r="D16" i="3" a="1"/>
  <c r="D16" i="3" s="1"/>
  <c r="C16" i="5"/>
  <c r="E16" i="5" s="1"/>
  <c r="D6" i="14" a="1"/>
  <c r="D6" i="14" s="1"/>
  <c r="D4" i="15" a="1"/>
  <c r="D4" i="15" s="1"/>
  <c r="C12" i="5"/>
  <c r="E12" i="5" s="1"/>
  <c r="D11" i="3" a="1"/>
  <c r="D11" i="3" s="1"/>
  <c r="C3" i="5"/>
  <c r="C6" i="3"/>
  <c r="E6" i="3" s="1"/>
  <c r="C9" i="12"/>
  <c r="E9" i="12" s="1"/>
  <c r="C10" i="5"/>
  <c r="E10" i="5" s="1"/>
  <c r="C9" i="5"/>
  <c r="E9" i="5" s="1"/>
  <c r="C7" i="5"/>
  <c r="E7" i="5" s="1"/>
  <c r="C8" i="2"/>
  <c r="E8" i="2" s="1"/>
  <c r="D15" i="2" a="1"/>
  <c r="D15" i="2" s="1"/>
  <c r="C12" i="2"/>
  <c r="E12" i="2" s="1"/>
  <c r="C8" i="3"/>
  <c r="E8" i="3" s="1"/>
  <c r="C17" i="3"/>
  <c r="E17" i="3" s="1"/>
  <c r="C15" i="3"/>
  <c r="E15" i="3" s="1"/>
  <c r="C7" i="3"/>
  <c r="E7" i="3" s="1"/>
  <c r="D11" i="10" a="1"/>
  <c r="D11" i="10" s="1"/>
  <c r="D8" i="14" a="1"/>
  <c r="D8" i="14" s="1"/>
  <c r="D5" i="3" a="1"/>
  <c r="D5" i="3" s="1"/>
  <c r="C14" i="4"/>
  <c r="E14" i="4" s="1"/>
  <c r="C4" i="11"/>
  <c r="E4" i="11" s="1"/>
  <c r="D11" i="15" a="1"/>
  <c r="D11" i="15" s="1"/>
  <c r="D4" i="4" a="1"/>
  <c r="D4" i="4" s="1"/>
  <c r="D6" i="10" a="1"/>
  <c r="D6" i="10" s="1"/>
  <c r="D14" i="11" a="1"/>
  <c r="D14" i="11" s="1"/>
  <c r="C13" i="2"/>
  <c r="E13" i="2" s="1"/>
  <c r="C17" i="15"/>
  <c r="E17" i="15" s="1"/>
  <c r="D17" i="15" a="1"/>
  <c r="D17" i="15" s="1"/>
  <c r="C5" i="15"/>
  <c r="E5" i="15" s="1"/>
  <c r="D5" i="15" a="1"/>
  <c r="D5" i="15" s="1"/>
  <c r="C16" i="15"/>
  <c r="E16" i="15" s="1"/>
  <c r="D16" i="15" a="1"/>
  <c r="D16" i="15" s="1"/>
  <c r="C10" i="15"/>
  <c r="E10" i="15" s="1"/>
  <c r="D10" i="15" a="1"/>
  <c r="D10" i="15" s="1"/>
  <c r="C9" i="15"/>
  <c r="E9" i="15" s="1"/>
  <c r="D9" i="15" a="1"/>
  <c r="D9" i="15" s="1"/>
  <c r="C12" i="15"/>
  <c r="E12" i="15" s="1"/>
  <c r="D12" i="15" a="1"/>
  <c r="D12" i="15" s="1"/>
  <c r="C3" i="15"/>
  <c r="D3" i="15" a="1"/>
  <c r="D3" i="15" s="1"/>
  <c r="C15" i="15"/>
  <c r="E15" i="15" s="1"/>
  <c r="D15" i="15" a="1"/>
  <c r="D15" i="15" s="1"/>
  <c r="C8" i="15"/>
  <c r="E8" i="15" s="1"/>
  <c r="D8" i="15" a="1"/>
  <c r="D8" i="15" s="1"/>
  <c r="C7" i="15"/>
  <c r="E7" i="15" s="1"/>
  <c r="D7" i="15" a="1"/>
  <c r="D7" i="15" s="1"/>
  <c r="C6" i="15"/>
  <c r="E6" i="15" s="1"/>
  <c r="D6" i="15" a="1"/>
  <c r="D6" i="15" s="1"/>
  <c r="C13" i="15"/>
  <c r="E13" i="15" s="1"/>
  <c r="D13" i="15" a="1"/>
  <c r="D13" i="15" s="1"/>
  <c r="C14" i="15"/>
  <c r="E14" i="15" s="1"/>
  <c r="D14" i="15" a="1"/>
  <c r="D14" i="15" s="1"/>
  <c r="C16" i="14"/>
  <c r="E16" i="14" s="1"/>
  <c r="D16" i="14" a="1"/>
  <c r="D16" i="14" s="1"/>
  <c r="C12" i="14"/>
  <c r="E12" i="14" s="1"/>
  <c r="D12" i="14" a="1"/>
  <c r="D12" i="14" s="1"/>
  <c r="D13" i="14" a="1"/>
  <c r="D13" i="14" s="1"/>
  <c r="C13" i="14"/>
  <c r="E13" i="14" s="1"/>
  <c r="C14" i="14"/>
  <c r="E14" i="14" s="1"/>
  <c r="D14" i="14" a="1"/>
  <c r="D14" i="14" s="1"/>
  <c r="C4" i="14"/>
  <c r="E4" i="14" s="1"/>
  <c r="D4" i="14" a="1"/>
  <c r="D4" i="14" s="1"/>
  <c r="C10" i="14"/>
  <c r="E10" i="14" s="1"/>
  <c r="D10" i="14" a="1"/>
  <c r="D10" i="14" s="1"/>
  <c r="D5" i="14" a="1"/>
  <c r="D5" i="14" s="1"/>
  <c r="C5" i="14"/>
  <c r="E5" i="14" s="1"/>
  <c r="D9" i="14" a="1"/>
  <c r="D9" i="14" s="1"/>
  <c r="C9" i="14"/>
  <c r="E9" i="14" s="1"/>
  <c r="C15" i="14"/>
  <c r="E15" i="14" s="1"/>
  <c r="D15" i="14" a="1"/>
  <c r="D15" i="14" s="1"/>
  <c r="C11" i="14"/>
  <c r="E11" i="14" s="1"/>
  <c r="D11" i="14" a="1"/>
  <c r="D11" i="14" s="1"/>
  <c r="C17" i="14"/>
  <c r="E17" i="14" s="1"/>
  <c r="D17" i="14" a="1"/>
  <c r="D17" i="14" s="1"/>
  <c r="C7" i="14"/>
  <c r="E7" i="14" s="1"/>
  <c r="D7" i="14" a="1"/>
  <c r="D7" i="14" s="1"/>
  <c r="C3" i="14"/>
  <c r="D3" i="14" a="1"/>
  <c r="D3" i="14" s="1"/>
  <c r="D4" i="13" a="1"/>
  <c r="D4" i="13" s="1"/>
  <c r="C7" i="13"/>
  <c r="E7" i="13" s="1"/>
  <c r="D7" i="13" a="1"/>
  <c r="D7" i="13" s="1"/>
  <c r="C3" i="13"/>
  <c r="D3" i="13" a="1"/>
  <c r="D3" i="13" s="1"/>
  <c r="D9" i="13" a="1"/>
  <c r="D9" i="13" s="1"/>
  <c r="C9" i="13"/>
  <c r="E9" i="13" s="1"/>
  <c r="D5" i="13" a="1"/>
  <c r="D5" i="13" s="1"/>
  <c r="C5" i="13"/>
  <c r="E5" i="13" s="1"/>
  <c r="C14" i="13"/>
  <c r="E14" i="13" s="1"/>
  <c r="D14" i="13" a="1"/>
  <c r="D14" i="13" s="1"/>
  <c r="C15" i="13"/>
  <c r="E15" i="13" s="1"/>
  <c r="D15" i="13" a="1"/>
  <c r="D15" i="13" s="1"/>
  <c r="C10" i="13"/>
  <c r="E10" i="13" s="1"/>
  <c r="D10" i="13" a="1"/>
  <c r="D10" i="13" s="1"/>
  <c r="C6" i="13"/>
  <c r="E6" i="13" s="1"/>
  <c r="D6" i="13" a="1"/>
  <c r="D6" i="13" s="1"/>
  <c r="C16" i="13"/>
  <c r="E16" i="13" s="1"/>
  <c r="D16" i="13" a="1"/>
  <c r="D16" i="13" s="1"/>
  <c r="C12" i="13"/>
  <c r="E12" i="13" s="1"/>
  <c r="D12" i="13" a="1"/>
  <c r="D12" i="13" s="1"/>
  <c r="C8" i="13"/>
  <c r="E8" i="13" s="1"/>
  <c r="D8" i="13" a="1"/>
  <c r="D8" i="13" s="1"/>
  <c r="D17" i="13" a="1"/>
  <c r="D17" i="13" s="1"/>
  <c r="C17" i="13"/>
  <c r="E17" i="13" s="1"/>
  <c r="C11" i="13"/>
  <c r="E11" i="13" s="1"/>
  <c r="D11" i="13" a="1"/>
  <c r="D11" i="13" s="1"/>
  <c r="D13" i="13" a="1"/>
  <c r="D13" i="13" s="1"/>
  <c r="C13" i="13"/>
  <c r="E13" i="13" s="1"/>
  <c r="C14" i="12"/>
  <c r="E14" i="12" s="1"/>
  <c r="D14" i="12" a="1"/>
  <c r="D14" i="12" s="1"/>
  <c r="C3" i="12"/>
  <c r="D3" i="12" a="1"/>
  <c r="D3" i="12" s="1"/>
  <c r="C7" i="12"/>
  <c r="E7" i="12" s="1"/>
  <c r="D7" i="12" a="1"/>
  <c r="D7" i="12" s="1"/>
  <c r="D17" i="12" a="1"/>
  <c r="D17" i="12" s="1"/>
  <c r="C17" i="12"/>
  <c r="E17" i="12" s="1"/>
  <c r="D13" i="12" a="1"/>
  <c r="D13" i="12" s="1"/>
  <c r="C13" i="12"/>
  <c r="E13" i="12" s="1"/>
  <c r="C6" i="12"/>
  <c r="E6" i="12" s="1"/>
  <c r="D6" i="12" a="1"/>
  <c r="D6" i="12" s="1"/>
  <c r="C8" i="12"/>
  <c r="E8" i="12" s="1"/>
  <c r="D8" i="12" a="1"/>
  <c r="D8" i="12" s="1"/>
  <c r="C15" i="12"/>
  <c r="E15" i="12" s="1"/>
  <c r="D15" i="12" a="1"/>
  <c r="D15" i="12" s="1"/>
  <c r="C4" i="12"/>
  <c r="E4" i="12" s="1"/>
  <c r="D4" i="12" a="1"/>
  <c r="D4" i="12" s="1"/>
  <c r="C10" i="12"/>
  <c r="E10" i="12" s="1"/>
  <c r="D10" i="12" a="1"/>
  <c r="D10" i="12" s="1"/>
  <c r="C16" i="12"/>
  <c r="E16" i="12" s="1"/>
  <c r="D16" i="12" a="1"/>
  <c r="D16" i="12" s="1"/>
  <c r="C11" i="12"/>
  <c r="E11" i="12" s="1"/>
  <c r="D11" i="12" a="1"/>
  <c r="D11" i="12" s="1"/>
  <c r="C12" i="12"/>
  <c r="E12" i="12" s="1"/>
  <c r="D12" i="12" a="1"/>
  <c r="D12" i="12" s="1"/>
  <c r="C12" i="11"/>
  <c r="E12" i="11" s="1"/>
  <c r="D12" i="11" a="1"/>
  <c r="D12" i="11" s="1"/>
  <c r="C11" i="11"/>
  <c r="E11" i="11" s="1"/>
  <c r="D11" i="11" a="1"/>
  <c r="D11" i="11" s="1"/>
  <c r="C15" i="11"/>
  <c r="E15" i="11" s="1"/>
  <c r="D15" i="11" a="1"/>
  <c r="D15" i="11" s="1"/>
  <c r="C3" i="11"/>
  <c r="D3" i="11" a="1"/>
  <c r="D3" i="11" s="1"/>
  <c r="C16" i="11"/>
  <c r="E16" i="11" s="1"/>
  <c r="D16" i="11" a="1"/>
  <c r="D16" i="11" s="1"/>
  <c r="D5" i="11" a="1"/>
  <c r="D5" i="11" s="1"/>
  <c r="C5" i="11"/>
  <c r="E5" i="11" s="1"/>
  <c r="D9" i="11" a="1"/>
  <c r="D9" i="11" s="1"/>
  <c r="C9" i="11"/>
  <c r="E9" i="11" s="1"/>
  <c r="C6" i="11"/>
  <c r="E6" i="11" s="1"/>
  <c r="D6" i="11" a="1"/>
  <c r="D6" i="11" s="1"/>
  <c r="D13" i="11" a="1"/>
  <c r="D13" i="11" s="1"/>
  <c r="C13" i="11"/>
  <c r="E13" i="11" s="1"/>
  <c r="C7" i="11"/>
  <c r="E7" i="11" s="1"/>
  <c r="D7" i="11" a="1"/>
  <c r="D7" i="11" s="1"/>
  <c r="C10" i="11"/>
  <c r="E10" i="11" s="1"/>
  <c r="D10" i="11" a="1"/>
  <c r="D10" i="11" s="1"/>
  <c r="C8" i="11"/>
  <c r="E8" i="11" s="1"/>
  <c r="D8" i="11" a="1"/>
  <c r="D8" i="11" s="1"/>
  <c r="D17" i="11" a="1"/>
  <c r="D17" i="11" s="1"/>
  <c r="C17" i="11"/>
  <c r="E17" i="11" s="1"/>
  <c r="C14" i="10"/>
  <c r="E14" i="10" s="1"/>
  <c r="D14" i="10" a="1"/>
  <c r="D14" i="10" s="1"/>
  <c r="C15" i="10"/>
  <c r="E15" i="10" s="1"/>
  <c r="D15" i="10" a="1"/>
  <c r="D15" i="10" s="1"/>
  <c r="D13" i="10" a="1"/>
  <c r="D13" i="10" s="1"/>
  <c r="C13" i="10"/>
  <c r="E13" i="10" s="1"/>
  <c r="C12" i="10"/>
  <c r="E12" i="10" s="1"/>
  <c r="D12" i="10" a="1"/>
  <c r="D12" i="10" s="1"/>
  <c r="C17" i="10"/>
  <c r="E17" i="10" s="1"/>
  <c r="D17" i="10" a="1"/>
  <c r="D17" i="10" s="1"/>
  <c r="C4" i="10"/>
  <c r="E4" i="10" s="1"/>
  <c r="D4" i="10" a="1"/>
  <c r="D4" i="10" s="1"/>
  <c r="C8" i="10"/>
  <c r="E8" i="10" s="1"/>
  <c r="D8" i="10" a="1"/>
  <c r="D8" i="10" s="1"/>
  <c r="C3" i="10"/>
  <c r="D3" i="10" a="1"/>
  <c r="D3" i="10" s="1"/>
  <c r="C10" i="10"/>
  <c r="E10" i="10" s="1"/>
  <c r="D10" i="10" a="1"/>
  <c r="D10" i="10" s="1"/>
  <c r="D9" i="10" a="1"/>
  <c r="D9" i="10" s="1"/>
  <c r="C9" i="10"/>
  <c r="E9" i="10" s="1"/>
  <c r="C7" i="10"/>
  <c r="E7" i="10" s="1"/>
  <c r="D7" i="10" a="1"/>
  <c r="D7" i="10" s="1"/>
  <c r="D5" i="10" a="1"/>
  <c r="D5" i="10" s="1"/>
  <c r="C5" i="10"/>
  <c r="E5" i="10" s="1"/>
  <c r="C16" i="10"/>
  <c r="E16" i="10" s="1"/>
  <c r="D16" i="10" a="1"/>
  <c r="D16" i="10" s="1"/>
  <c r="C16" i="9"/>
  <c r="E16" i="9" s="1"/>
  <c r="D16" i="9" a="1"/>
  <c r="D16" i="9" s="1"/>
  <c r="C12" i="9"/>
  <c r="E12" i="9" s="1"/>
  <c r="D12" i="9" a="1"/>
  <c r="D12" i="9" s="1"/>
  <c r="C7" i="9"/>
  <c r="E7" i="9" s="1"/>
  <c r="D7" i="9" a="1"/>
  <c r="D7" i="9" s="1"/>
  <c r="C15" i="9"/>
  <c r="E15" i="9" s="1"/>
  <c r="D15" i="9" a="1"/>
  <c r="D15" i="9" s="1"/>
  <c r="C14" i="9"/>
  <c r="E14" i="9" s="1"/>
  <c r="D14" i="9" a="1"/>
  <c r="D14" i="9" s="1"/>
  <c r="C10" i="9"/>
  <c r="E10" i="9" s="1"/>
  <c r="D10" i="9" a="1"/>
  <c r="D10" i="9" s="1"/>
  <c r="C6" i="9"/>
  <c r="E6" i="9" s="1"/>
  <c r="D6" i="9" a="1"/>
  <c r="D6" i="9" s="1"/>
  <c r="C9" i="9"/>
  <c r="E9" i="9" s="1"/>
  <c r="D9" i="9" a="1"/>
  <c r="D9" i="9" s="1"/>
  <c r="D5" i="9" a="1"/>
  <c r="D5" i="9" s="1"/>
  <c r="C5" i="9"/>
  <c r="E5" i="9" s="1"/>
  <c r="D11" i="9" a="1"/>
  <c r="D11" i="9" s="1"/>
  <c r="C11" i="9"/>
  <c r="E11" i="9" s="1"/>
  <c r="C13" i="9"/>
  <c r="E13" i="9" s="1"/>
  <c r="D13" i="9" a="1"/>
  <c r="D13" i="9" s="1"/>
  <c r="C17" i="9"/>
  <c r="E17" i="9" s="1"/>
  <c r="D17" i="9" a="1"/>
  <c r="D17" i="9" s="1"/>
  <c r="C3" i="9"/>
  <c r="D3" i="9" a="1"/>
  <c r="D3" i="9" s="1"/>
  <c r="D13" i="8" a="1"/>
  <c r="D13" i="8" s="1"/>
  <c r="C13" i="8"/>
  <c r="E13" i="8" s="1"/>
  <c r="C3" i="8"/>
  <c r="D3" i="8" a="1"/>
  <c r="D3" i="8" s="1"/>
  <c r="C16" i="8"/>
  <c r="E16" i="8" s="1"/>
  <c r="D16" i="8" a="1"/>
  <c r="D16" i="8" s="1"/>
  <c r="C7" i="8"/>
  <c r="E7" i="8" s="1"/>
  <c r="D7" i="8" a="1"/>
  <c r="D7" i="8" s="1"/>
  <c r="C11" i="8"/>
  <c r="E11" i="8" s="1"/>
  <c r="D11" i="8" a="1"/>
  <c r="D11" i="8" s="1"/>
  <c r="C14" i="8"/>
  <c r="E14" i="8" s="1"/>
  <c r="D14" i="8" a="1"/>
  <c r="D14" i="8" s="1"/>
  <c r="C6" i="8"/>
  <c r="E6" i="8" s="1"/>
  <c r="D6" i="8" a="1"/>
  <c r="D6" i="8" s="1"/>
  <c r="C12" i="8"/>
  <c r="E12" i="8" s="1"/>
  <c r="D12" i="8" a="1"/>
  <c r="D12" i="8" s="1"/>
  <c r="C4" i="8"/>
  <c r="E4" i="8" s="1"/>
  <c r="D4" i="8" a="1"/>
  <c r="D4" i="8" s="1"/>
  <c r="C10" i="8"/>
  <c r="E10" i="8" s="1"/>
  <c r="D10" i="8" a="1"/>
  <c r="D10" i="8" s="1"/>
  <c r="C8" i="8"/>
  <c r="E8" i="8" s="1"/>
  <c r="D8" i="8" a="1"/>
  <c r="D8" i="8" s="1"/>
  <c r="D17" i="8" a="1"/>
  <c r="D17" i="8" s="1"/>
  <c r="C17" i="8"/>
  <c r="E17" i="8" s="1"/>
  <c r="C15" i="8"/>
  <c r="E15" i="8" s="1"/>
  <c r="D15" i="8" a="1"/>
  <c r="D15" i="8" s="1"/>
  <c r="D9" i="7" a="1"/>
  <c r="D9" i="7" s="1"/>
  <c r="C9" i="7"/>
  <c r="E9" i="7" s="1"/>
  <c r="C10" i="7"/>
  <c r="E10" i="7" s="1"/>
  <c r="D10" i="7" a="1"/>
  <c r="D10" i="7" s="1"/>
  <c r="C14" i="7"/>
  <c r="E14" i="7" s="1"/>
  <c r="D14" i="7" a="1"/>
  <c r="D14" i="7" s="1"/>
  <c r="C12" i="7"/>
  <c r="E12" i="7" s="1"/>
  <c r="D12" i="7" a="1"/>
  <c r="D12" i="7" s="1"/>
  <c r="C13" i="7"/>
  <c r="E13" i="7" s="1"/>
  <c r="D13" i="7" a="1"/>
  <c r="D13" i="7" s="1"/>
  <c r="C16" i="7"/>
  <c r="E16" i="7" s="1"/>
  <c r="D16" i="7" a="1"/>
  <c r="D16" i="7" s="1"/>
  <c r="C17" i="7"/>
  <c r="E17" i="7" s="1"/>
  <c r="D17" i="7" a="1"/>
  <c r="D17" i="7" s="1"/>
  <c r="C5" i="7"/>
  <c r="E5" i="7" s="1"/>
  <c r="D5" i="7" a="1"/>
  <c r="D5" i="7" s="1"/>
  <c r="C8" i="7"/>
  <c r="E8" i="7" s="1"/>
  <c r="D8" i="7" a="1"/>
  <c r="D8" i="7" s="1"/>
  <c r="C7" i="7"/>
  <c r="E7" i="7" s="1"/>
  <c r="D7" i="7" a="1"/>
  <c r="D7" i="7" s="1"/>
  <c r="C11" i="7"/>
  <c r="E11" i="7" s="1"/>
  <c r="D11" i="7" a="1"/>
  <c r="D11" i="7" s="1"/>
  <c r="C15" i="7"/>
  <c r="E15" i="7" s="1"/>
  <c r="D15" i="7" a="1"/>
  <c r="D15" i="7" s="1"/>
  <c r="C3" i="7"/>
  <c r="D3" i="7" a="1"/>
  <c r="D3" i="7" s="1"/>
  <c r="C6" i="7"/>
  <c r="E6" i="7" s="1"/>
  <c r="D6" i="7" a="1"/>
  <c r="D6" i="7" s="1"/>
  <c r="D12" i="6" a="1"/>
  <c r="D12" i="6" s="1"/>
  <c r="C4" i="6"/>
  <c r="E4" i="6" s="1"/>
  <c r="D4" i="6" a="1"/>
  <c r="D4" i="6" s="1"/>
  <c r="D5" i="6" a="1"/>
  <c r="D5" i="6" s="1"/>
  <c r="C5" i="6"/>
  <c r="E5" i="6" s="1"/>
  <c r="C17" i="6"/>
  <c r="E17" i="6" s="1"/>
  <c r="D17" i="6" a="1"/>
  <c r="D17" i="6" s="1"/>
  <c r="C15" i="6"/>
  <c r="E15" i="6" s="1"/>
  <c r="D15" i="6" a="1"/>
  <c r="D15" i="6" s="1"/>
  <c r="C16" i="6"/>
  <c r="E16" i="6" s="1"/>
  <c r="D16" i="6" a="1"/>
  <c r="D16" i="6" s="1"/>
  <c r="C13" i="6"/>
  <c r="E13" i="6" s="1"/>
  <c r="D13" i="6" a="1"/>
  <c r="D13" i="6" s="1"/>
  <c r="D6" i="6" a="1"/>
  <c r="D6" i="6" s="1"/>
  <c r="C6" i="6"/>
  <c r="E6" i="6" s="1"/>
  <c r="C3" i="6"/>
  <c r="D3" i="6" a="1"/>
  <c r="D3" i="6" s="1"/>
  <c r="C7" i="6"/>
  <c r="E7" i="6" s="1"/>
  <c r="D7" i="6" a="1"/>
  <c r="D7" i="6" s="1"/>
  <c r="C10" i="6"/>
  <c r="E10" i="6" s="1"/>
  <c r="D10" i="6" a="1"/>
  <c r="D10" i="6" s="1"/>
  <c r="C14" i="6"/>
  <c r="E14" i="6" s="1"/>
  <c r="D14" i="6" a="1"/>
  <c r="D14" i="6" s="1"/>
  <c r="D8" i="6" a="1"/>
  <c r="D8" i="6" s="1"/>
  <c r="C8" i="6"/>
  <c r="E8" i="6" s="1"/>
  <c r="C11" i="6"/>
  <c r="E11" i="6" s="1"/>
  <c r="D11" i="6" a="1"/>
  <c r="D11" i="6" s="1"/>
  <c r="C9" i="6"/>
  <c r="E9" i="6" s="1"/>
  <c r="D9" i="6" a="1"/>
  <c r="D9" i="6" s="1"/>
  <c r="C4" i="5"/>
  <c r="E4" i="5" s="1"/>
  <c r="C5" i="5"/>
  <c r="E5" i="5" s="1"/>
  <c r="C6" i="5"/>
  <c r="E6" i="5" s="1"/>
  <c r="C11" i="5"/>
  <c r="E11" i="5" s="1"/>
  <c r="C15" i="5"/>
  <c r="E15" i="5" s="1"/>
  <c r="C3" i="4"/>
  <c r="C8" i="4"/>
  <c r="E8" i="4" s="1"/>
  <c r="C15" i="4"/>
  <c r="E15" i="4" s="1"/>
  <c r="D15" i="4" a="1"/>
  <c r="D15" i="4" s="1"/>
  <c r="C9" i="4"/>
  <c r="E9" i="4" s="1"/>
  <c r="D9" i="4" a="1"/>
  <c r="D9" i="4" s="1"/>
  <c r="C7" i="4"/>
  <c r="E7" i="4" s="1"/>
  <c r="D7" i="4" a="1"/>
  <c r="D7" i="4" s="1"/>
  <c r="C10" i="4"/>
  <c r="E10" i="4" s="1"/>
  <c r="D10" i="4" a="1"/>
  <c r="D10" i="4" s="1"/>
  <c r="C11" i="4"/>
  <c r="E11" i="4" s="1"/>
  <c r="D11" i="4" a="1"/>
  <c r="D11" i="4" s="1"/>
  <c r="C6" i="4"/>
  <c r="E6" i="4" s="1"/>
  <c r="D6" i="4" a="1"/>
  <c r="D6" i="4" s="1"/>
  <c r="C5" i="4"/>
  <c r="E5" i="4" s="1"/>
  <c r="D5" i="4" a="1"/>
  <c r="D5" i="4" s="1"/>
  <c r="C12" i="4"/>
  <c r="E12" i="4" s="1"/>
  <c r="D12" i="4" a="1"/>
  <c r="D12" i="4" s="1"/>
  <c r="C13" i="4"/>
  <c r="E13" i="4" s="1"/>
  <c r="D13" i="4" a="1"/>
  <c r="D13" i="4" s="1"/>
  <c r="C16" i="4"/>
  <c r="E16" i="4" s="1"/>
  <c r="D16" i="4" a="1"/>
  <c r="D16" i="4" s="1"/>
  <c r="C17" i="4"/>
  <c r="E17" i="4" s="1"/>
  <c r="D17" i="4" a="1"/>
  <c r="D17" i="4" s="1"/>
  <c r="D13" i="3" a="1"/>
  <c r="D13" i="3" s="1"/>
  <c r="D9" i="3" a="1"/>
  <c r="D9" i="3" s="1"/>
  <c r="D4" i="3" a="1"/>
  <c r="D4" i="3" s="1"/>
  <c r="C5" i="2"/>
  <c r="E5" i="2" s="1"/>
  <c r="C4" i="2"/>
  <c r="E4" i="2" s="1"/>
  <c r="D11" i="2" a="1"/>
  <c r="D11" i="2" s="1"/>
  <c r="C14" i="2"/>
  <c r="E14" i="2" s="1"/>
  <c r="D17" i="2" a="1"/>
  <c r="D17" i="2" s="1"/>
  <c r="C6" i="2"/>
  <c r="E6" i="2" s="1"/>
  <c r="C3" i="2"/>
  <c r="D3" i="2" a="1"/>
  <c r="D3" i="2" s="1"/>
  <c r="D7" i="2" a="1"/>
  <c r="D7" i="2" s="1"/>
  <c r="C17" i="16"/>
  <c r="E17" i="16" s="1"/>
  <c r="D9" i="16" a="1"/>
  <c r="D9" i="16" s="1"/>
  <c r="C9" i="16"/>
  <c r="E9" i="16" s="1"/>
  <c r="C11" i="16"/>
  <c r="E11" i="16" s="1"/>
  <c r="D11" i="16" a="1"/>
  <c r="D11" i="16" s="1"/>
  <c r="D3" i="16" a="1"/>
  <c r="D3" i="16" s="1"/>
  <c r="D5" i="16" a="1"/>
  <c r="D5" i="16" s="1"/>
  <c r="C5" i="16"/>
  <c r="E5" i="16" s="1"/>
  <c r="C4" i="16"/>
  <c r="E4" i="16" s="1"/>
  <c r="D4" i="16" a="1"/>
  <c r="D4" i="16" s="1"/>
  <c r="D10" i="16" a="1"/>
  <c r="D10" i="16" s="1"/>
  <c r="C10" i="16"/>
  <c r="E10" i="16" s="1"/>
  <c r="C8" i="16"/>
  <c r="E8" i="16" s="1"/>
  <c r="D8" i="16" a="1"/>
  <c r="D8" i="16" s="1"/>
  <c r="C15" i="16"/>
  <c r="E15" i="16" s="1"/>
  <c r="D15" i="16" a="1"/>
  <c r="D15" i="16" s="1"/>
  <c r="D16" i="16" a="1"/>
  <c r="D16" i="16" s="1"/>
  <c r="C16" i="16"/>
  <c r="E16" i="16" s="1"/>
  <c r="D14" i="16" a="1"/>
  <c r="D14" i="16" s="1"/>
  <c r="C14" i="16"/>
  <c r="E14" i="16" s="1"/>
  <c r="D13" i="16" a="1"/>
  <c r="D13" i="16" s="1"/>
  <c r="C13" i="16"/>
  <c r="E13" i="16" s="1"/>
  <c r="C7" i="16"/>
  <c r="E7" i="16" s="1"/>
  <c r="D7" i="16" a="1"/>
  <c r="D7" i="16" s="1"/>
  <c r="C12" i="16"/>
  <c r="E12" i="16" s="1"/>
  <c r="D12" i="16" a="1"/>
  <c r="D12" i="16" s="1"/>
  <c r="D6" i="16" a="1"/>
  <c r="D6" i="16" s="1"/>
  <c r="C6" i="16"/>
  <c r="E6" i="16" s="1"/>
  <c r="D10" i="2" a="1"/>
  <c r="D10" i="2" s="1"/>
  <c r="C16" i="2"/>
  <c r="E16" i="2" s="1"/>
  <c r="D9" i="2" a="1"/>
  <c r="D9" i="2" s="1"/>
  <c r="C9" i="2"/>
  <c r="E9" i="2" s="1"/>
  <c r="AG10" i="5"/>
  <c r="AL9" i="5"/>
  <c r="E3" i="8" l="1"/>
  <c r="H67" i="21"/>
  <c r="G67" i="21"/>
  <c r="E3" i="9"/>
  <c r="F3" i="9" s="1" a="1"/>
  <c r="F3" i="9" s="1"/>
  <c r="B11" i="21" s="1"/>
  <c r="G68" i="21"/>
  <c r="H68" i="21"/>
  <c r="E3" i="10"/>
  <c r="F3" i="10" s="1" a="1"/>
  <c r="F3" i="10" s="1"/>
  <c r="B12" i="21" s="1"/>
  <c r="G69" i="21"/>
  <c r="H69" i="21"/>
  <c r="E3" i="12"/>
  <c r="F3" i="12" s="1" a="1"/>
  <c r="F3" i="12" s="1"/>
  <c r="B14" i="21" s="1"/>
  <c r="H71" i="21"/>
  <c r="G71" i="21"/>
  <c r="E3" i="13"/>
  <c r="F3" i="13" s="1" a="1"/>
  <c r="F3" i="13" s="1"/>
  <c r="B15" i="21" s="1"/>
  <c r="G72" i="21"/>
  <c r="H72" i="21"/>
  <c r="H62" i="21"/>
  <c r="E3" i="4"/>
  <c r="F3" i="4" s="1" a="1"/>
  <c r="F3" i="4" s="1"/>
  <c r="B6" i="21" s="1"/>
  <c r="H63" i="21"/>
  <c r="G63" i="21"/>
  <c r="E3" i="15"/>
  <c r="F3" i="15" s="1" a="1"/>
  <c r="F3" i="15" s="1"/>
  <c r="B17" i="21" s="1"/>
  <c r="H74" i="21"/>
  <c r="G74" i="21"/>
  <c r="E3" i="7"/>
  <c r="F3" i="7" s="1" a="1"/>
  <c r="F3" i="7" s="1"/>
  <c r="B9" i="21" s="1"/>
  <c r="H66" i="21"/>
  <c r="G66" i="21"/>
  <c r="G61" i="21"/>
  <c r="H61" i="21"/>
  <c r="E3" i="6"/>
  <c r="F3" i="6" s="1" a="1"/>
  <c r="F3" i="6" s="1"/>
  <c r="B8" i="21" s="1"/>
  <c r="G65" i="21"/>
  <c r="H65" i="21"/>
  <c r="E3" i="14"/>
  <c r="F3" i="14" s="1" a="1"/>
  <c r="F3" i="14" s="1"/>
  <c r="B16" i="21" s="1"/>
  <c r="G73" i="21"/>
  <c r="H73" i="21"/>
  <c r="G75" i="21"/>
  <c r="G62" i="21"/>
  <c r="E3" i="11"/>
  <c r="F3" i="11" s="1" a="1"/>
  <c r="F3" i="11" s="1"/>
  <c r="B13" i="21" s="1"/>
  <c r="H70" i="21"/>
  <c r="G70" i="21"/>
  <c r="E3" i="5"/>
  <c r="F3" i="5" s="1" a="1"/>
  <c r="F3" i="5" s="1"/>
  <c r="B7" i="21" s="1"/>
  <c r="G64" i="21"/>
  <c r="H64" i="21"/>
  <c r="H75" i="21"/>
  <c r="E3" i="2"/>
  <c r="F3" i="2" s="1" a="1"/>
  <c r="F3" i="2" s="1"/>
  <c r="H58" i="21"/>
  <c r="AH3" i="5"/>
  <c r="AJ4" i="5" s="1"/>
  <c r="F3" i="3" a="1"/>
  <c r="F3" i="3" s="1"/>
  <c r="B5" i="21" s="1"/>
  <c r="F3" i="8" a="1"/>
  <c r="F3" i="8" s="1"/>
  <c r="B10" i="21" s="1"/>
  <c r="F3" i="16" a="1"/>
  <c r="F3" i="16" s="1"/>
  <c r="B18" i="21" s="1"/>
  <c r="AG11" i="5"/>
  <c r="AL10" i="5"/>
  <c r="B4" i="21" l="1"/>
  <c r="C61" i="21"/>
  <c r="C62" i="21"/>
  <c r="C76" i="21"/>
  <c r="C93" i="21"/>
  <c r="C82" i="21"/>
  <c r="C99" i="21"/>
  <c r="C86" i="21"/>
  <c r="C77" i="21"/>
  <c r="C79" i="21"/>
  <c r="C66" i="21"/>
  <c r="C92" i="21"/>
  <c r="C67" i="21"/>
  <c r="C98" i="21"/>
  <c r="C95" i="21"/>
  <c r="C100" i="21"/>
  <c r="C84" i="21"/>
  <c r="C68" i="21"/>
  <c r="C74" i="21"/>
  <c r="C83" i="21"/>
  <c r="C101" i="21"/>
  <c r="C85" i="21"/>
  <c r="C69" i="21"/>
  <c r="AF3" i="5"/>
  <c r="AH7" i="5" s="1"/>
  <c r="C75" i="21"/>
  <c r="C88" i="21"/>
  <c r="C72" i="21"/>
  <c r="C78" i="21"/>
  <c r="C91" i="21"/>
  <c r="C63" i="21"/>
  <c r="C89" i="21"/>
  <c r="C73" i="21"/>
  <c r="C90" i="21"/>
  <c r="C87" i="21"/>
  <c r="C96" i="21"/>
  <c r="C80" i="21"/>
  <c r="C94" i="21"/>
  <c r="C70" i="21"/>
  <c r="C71" i="21"/>
  <c r="C97" i="21"/>
  <c r="C81" i="21"/>
  <c r="C65" i="21"/>
  <c r="C64" i="21"/>
  <c r="M3" i="3"/>
  <c r="M3" i="16"/>
  <c r="M3" i="15"/>
  <c r="M3" i="14"/>
  <c r="M3" i="13"/>
  <c r="M3" i="12"/>
  <c r="M3" i="11"/>
  <c r="M3" i="10"/>
  <c r="M3" i="9"/>
  <c r="M3" i="7"/>
  <c r="M3" i="6"/>
  <c r="M3" i="4"/>
  <c r="M3" i="2"/>
  <c r="AI9" i="5"/>
  <c r="M3" i="5"/>
  <c r="M3" i="8"/>
  <c r="AI8" i="5"/>
  <c r="AI7" i="5"/>
  <c r="AI10" i="5"/>
  <c r="AE7" i="5"/>
  <c r="AE6" i="5"/>
  <c r="AI6" i="5"/>
  <c r="AL11" i="5"/>
  <c r="AG12" i="5"/>
  <c r="AI11" i="5"/>
  <c r="AH6" i="5" l="1"/>
  <c r="AH11" i="5"/>
  <c r="AH8" i="5"/>
  <c r="AH10" i="5"/>
  <c r="AH9" i="5"/>
  <c r="M5" i="2"/>
  <c r="I61" i="21" s="1"/>
  <c r="B5" i="18" s="1"/>
  <c r="M5" i="3"/>
  <c r="I62" i="21" s="1"/>
  <c r="B6" i="18" s="1"/>
  <c r="M5" i="16"/>
  <c r="I75" i="21" s="1"/>
  <c r="B19" i="18" s="1"/>
  <c r="M5" i="15"/>
  <c r="I74" i="21" s="1"/>
  <c r="B18" i="18" s="1"/>
  <c r="M5" i="14"/>
  <c r="I73" i="21" s="1"/>
  <c r="B17" i="18" s="1"/>
  <c r="M5" i="13"/>
  <c r="I72" i="21" s="1"/>
  <c r="B16" i="18" s="1"/>
  <c r="M5" i="12"/>
  <c r="I71" i="21" s="1"/>
  <c r="B15" i="18" s="1"/>
  <c r="M5" i="11"/>
  <c r="I70" i="21" s="1"/>
  <c r="B14" i="18" s="1"/>
  <c r="M5" i="10"/>
  <c r="I69" i="21" s="1"/>
  <c r="B13" i="18" s="1"/>
  <c r="M5" i="9"/>
  <c r="I68" i="21" s="1"/>
  <c r="B12" i="18" s="1"/>
  <c r="M5" i="8"/>
  <c r="I67" i="21" s="1"/>
  <c r="B11" i="18" s="1"/>
  <c r="M5" i="7"/>
  <c r="I66" i="21" s="1"/>
  <c r="B10" i="18" s="1"/>
  <c r="M5" i="6"/>
  <c r="I65" i="21" s="1"/>
  <c r="B9" i="18" s="1"/>
  <c r="M5" i="5"/>
  <c r="I64" i="21" s="1"/>
  <c r="B8" i="18" s="1"/>
  <c r="M5" i="4"/>
  <c r="I63" i="21" s="1"/>
  <c r="B7" i="18" s="1"/>
  <c r="AG13" i="5"/>
  <c r="AI12" i="5"/>
  <c r="AH12" i="5"/>
  <c r="AL12" i="5"/>
  <c r="AL13" i="5" l="1"/>
  <c r="AM12" i="5"/>
  <c r="AG14" i="5"/>
  <c r="AI13" i="5"/>
  <c r="AH13" i="5"/>
  <c r="AM13" i="5" l="1"/>
  <c r="AL14" i="5"/>
  <c r="AG15" i="5"/>
  <c r="AI14" i="5"/>
  <c r="AH14" i="5"/>
  <c r="AG16" i="5" l="1"/>
  <c r="AI15" i="5"/>
  <c r="AH15" i="5"/>
  <c r="AL15" i="5"/>
  <c r="AM15" i="5" s="1"/>
  <c r="AM14" i="5"/>
  <c r="AN15" i="5" l="1"/>
  <c r="AN14" i="5" s="1"/>
  <c r="AN13" i="5" s="1"/>
  <c r="AN12" i="5" s="1"/>
  <c r="AI16" i="5"/>
  <c r="AG17" i="5"/>
  <c r="AH16" i="5"/>
  <c r="AI17" i="5" l="1"/>
  <c r="AG18" i="5"/>
  <c r="AH17" i="5"/>
  <c r="AJ19" i="5" l="1"/>
  <c r="AI18" i="5"/>
  <c r="AH18" i="5"/>
  <c r="AJ20" i="5" l="1"/>
  <c r="AL19" i="5"/>
  <c r="AK19" i="5"/>
  <c r="AL20" i="5" l="1"/>
  <c r="AJ21" i="5"/>
  <c r="AK20" i="5"/>
  <c r="AL21" i="5" l="1"/>
  <c r="AJ22" i="5"/>
  <c r="AK21" i="5"/>
  <c r="AJ23" i="5" l="1"/>
  <c r="AL22" i="5"/>
  <c r="AK22" i="5"/>
  <c r="AJ24" i="5" l="1"/>
  <c r="AL23" i="5"/>
  <c r="AK23" i="5"/>
  <c r="AJ25" i="5" l="1"/>
  <c r="AL24" i="5"/>
  <c r="AK24" i="5"/>
  <c r="AL25" i="5" l="1"/>
  <c r="AJ26" i="5"/>
  <c r="AK25" i="5"/>
  <c r="AJ27" i="5" l="1"/>
  <c r="AL26" i="5"/>
  <c r="AK26" i="5"/>
  <c r="AJ28" i="5" l="1"/>
  <c r="AL27" i="5"/>
  <c r="AK27" i="5"/>
  <c r="AL28" i="5" l="1"/>
  <c r="AJ29" i="5"/>
  <c r="AK28" i="5"/>
  <c r="AL29" i="5" l="1"/>
  <c r="AJ30" i="5"/>
  <c r="AK29" i="5"/>
  <c r="AJ31" i="5" l="1"/>
  <c r="AL30" i="5"/>
  <c r="AK30" i="5"/>
  <c r="AJ32" i="5" l="1"/>
  <c r="AL31" i="5"/>
  <c r="AK31" i="5"/>
  <c r="AJ33" i="5" l="1"/>
  <c r="AL32" i="5"/>
  <c r="AK32" i="5"/>
  <c r="AL33" i="5" l="1"/>
  <c r="AJ34" i="5"/>
  <c r="AK33" i="5"/>
  <c r="AJ35" i="5" l="1"/>
  <c r="AL34" i="5"/>
  <c r="AK34" i="5"/>
  <c r="AJ36" i="5" l="1"/>
  <c r="AL35" i="5"/>
  <c r="AK35" i="5"/>
  <c r="AL36" i="5" l="1"/>
  <c r="AJ37" i="5"/>
  <c r="AK36" i="5"/>
  <c r="AL37" i="5" l="1"/>
  <c r="AJ38" i="5"/>
  <c r="AK37" i="5"/>
  <c r="AJ39" i="5" l="1"/>
  <c r="AL38" i="5"/>
  <c r="AK38" i="5"/>
  <c r="AJ40" i="5" l="1"/>
  <c r="AL39" i="5"/>
  <c r="AK39" i="5"/>
  <c r="AL40" i="5" l="1"/>
  <c r="AJ41" i="5"/>
  <c r="AK40" i="5"/>
  <c r="AL41" i="5" l="1"/>
  <c r="AJ42" i="5"/>
  <c r="AK41" i="5"/>
  <c r="AJ43" i="5" l="1"/>
  <c r="AL42" i="5"/>
  <c r="AK42" i="5"/>
  <c r="AJ44" i="5" l="1"/>
  <c r="AL43" i="5"/>
  <c r="AK43" i="5"/>
  <c r="AL44" i="5" l="1"/>
  <c r="AJ45" i="5"/>
  <c r="AK44" i="5"/>
  <c r="AL45" i="5" l="1"/>
  <c r="AJ46" i="5"/>
  <c r="AK45" i="5"/>
  <c r="AL46" i="5" l="1"/>
  <c r="AK46" i="5"/>
  <c r="AK47" i="5" l="1"/>
  <c r="AM10" i="5"/>
  <c r="AM11" i="5"/>
  <c r="AN11" i="5" s="1"/>
  <c r="AM6" i="5"/>
  <c r="AM7" i="5"/>
  <c r="AM8" i="5"/>
  <c r="AM9" i="5"/>
  <c r="AN10" i="5" l="1"/>
  <c r="AN9" i="5" s="1"/>
  <c r="AN8" i="5" s="1"/>
  <c r="AN7" i="5" s="1"/>
  <c r="AN6" i="5" s="1"/>
  <c r="AM16" i="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<sst xmlns="http://schemas.openxmlformats.org/spreadsheetml/2006/main" count="572" uniqueCount="347">
  <si>
    <t>Esiste ed è mantenuto aggiornato un inventario dei sistemi, dispositivi, software, servizi e applicazioni informatiche in uso all’interno del perimetro aziendale.</t>
  </si>
  <si>
    <t>I servizi web (social network, cloud computing, posta elettronica, spazio web, ecc.) offerti da terze parti a cui si è registrati sono quelli strettamente necessari.</t>
  </si>
  <si>
    <t>Sono individuate le informazioni, i dati e i sistemi critici per l’azienda affinché siano adeguatamente protetti.</t>
  </si>
  <si>
    <t>È stato nominato un referente che sia responsabile per il coordinamento delle attività di gestione e di protezione delle informazioni e dei sistemi informatici.</t>
  </si>
  <si>
    <t>Sono identificate e rispettate le leggi e/o i regolamenti con rilevanza in tema di cybersecurity che risultino applicabili per l’azienda.</t>
  </si>
  <si>
    <t>Tutti i dispositivi che lo consentono sono dotati di software di protezione (antivirus, antimalware, ecc...) regolarmente aggiornato.</t>
  </si>
  <si>
    <t>Le password sono diverse per ogni account, della complessità adeguata e viene valutato l’utilizzo dei sistemi di autenticazione più sicuri offerti dal provider del servizio (es. autenticazione a due fattori).</t>
  </si>
  <si>
    <t>Il personale autorizzato all’accesso, remoto o locale, ai servizi informatici dispone di utenze personali non condivise con altri; l’accesso è opportunamente protetto; i vecchi account non più utilizzati sono disattivati.</t>
  </si>
  <si>
    <t>Ogni utente può accedere solo alle informazioni e ai sistemi di cui necessita e/o di sua competenza.</t>
  </si>
  <si>
    <t>Il personale è adeguatamente sensibilizzato e formato sui rischi di cybersecurity e sulle pratiche da adottare per l’impiego sicuro degli strumenti aziendali (es. riconoscere allegati e-mail, utilizzare solo software autorizzato,...). I vertici aziendali hanno cura di predisporre per tutto il personale aziendale la formazione necessaria a fornire almeno le nozioni basilari di sicurezza.</t>
  </si>
  <si>
    <t>La configurazione iniziale di tutti i sistemi e dispositivi è svolta da personale esperto, responsabile per la configurazione sicura degli stessi. Le credenziali di accesso di default sono sempre sostituite.</t>
  </si>
  <si>
    <t>Sono eseguiti periodicamente backup delle informazioni e dei dati critici per l’azienda (identificati al controllo 3). I backup sono conservati in modo sicuro e verificati periodicamente.</t>
  </si>
  <si>
    <t>Le reti e i sistemi sono protetti da accessi non autorizzati attraverso strumenti specifici (es: Firewall e altri dispositivi/software anti-intrusione).</t>
  </si>
  <si>
    <t>In caso di incidente (es. venga rilevato un attacco o un malware) vengono informati i responsabili della sicurezza e i sistemi vengono messi in sicurezza da personale esperto.</t>
  </si>
  <si>
    <t>Tutti i software in uso (inclusi i firmware) sono aggiornati all’ultima versione consigliata dal produttore. I dispositivi o i software obsoleti e non più aggiornabili sono dismessi.</t>
  </si>
  <si>
    <t>Malware</t>
  </si>
  <si>
    <t>Phishing</t>
  </si>
  <si>
    <t>Web application attacks</t>
  </si>
  <si>
    <t>Spam</t>
  </si>
  <si>
    <t>DDoS</t>
  </si>
  <si>
    <t>Identity theft</t>
  </si>
  <si>
    <t>Data breach</t>
  </si>
  <si>
    <t>Insider threat</t>
  </si>
  <si>
    <t>Botnets</t>
  </si>
  <si>
    <t>Information leakage</t>
  </si>
  <si>
    <t>Ransomware</t>
  </si>
  <si>
    <t>Cyberespionage</t>
  </si>
  <si>
    <t>Cryptojacking</t>
  </si>
  <si>
    <r>
      <rPr>
        <vertAlign val="subscript"/>
        <sz val="18"/>
        <color theme="1"/>
        <rFont val="Calibri"/>
        <family val="2"/>
        <scheme val="minor"/>
      </rPr>
      <t xml:space="preserve">     Controlli</t>
    </r>
    <r>
      <rPr>
        <sz val="18"/>
        <color theme="1"/>
        <rFont val="Calibri"/>
        <family val="2"/>
        <scheme val="minor"/>
      </rPr>
      <t xml:space="preserve">                              </t>
    </r>
    <r>
      <rPr>
        <vertAlign val="superscript"/>
        <sz val="18"/>
        <color theme="1"/>
        <rFont val="Calibri"/>
        <family val="2"/>
        <scheme val="minor"/>
      </rPr>
      <t>Minacce</t>
    </r>
  </si>
  <si>
    <t>Sì</t>
  </si>
  <si>
    <t>No</t>
  </si>
  <si>
    <t>N/A</t>
  </si>
  <si>
    <t>VALUTAZIONE RISCHIO MALWARE</t>
  </si>
  <si>
    <t>VALUTAZIONE RISCHIO DDOS</t>
  </si>
  <si>
    <t>VALUTAZIONE RISCHIO SPAM</t>
  </si>
  <si>
    <t>VALUTAZIONE RISCHIO WEB-APPLICATION ATTACKS</t>
  </si>
  <si>
    <t>VALUTAZIONE RISCHIO PHISHING</t>
  </si>
  <si>
    <t>VALUTAZIONE RISCHIO WEB-BASED ATTACKS</t>
  </si>
  <si>
    <t>VALUTAZIONE RISCHIO IDENTITY THEFT</t>
  </si>
  <si>
    <t>VALUTAZIONE RISCHIO DATA BREACH</t>
  </si>
  <si>
    <t>VALUTAZIONE RISCHIO INSIDER THREAT</t>
  </si>
  <si>
    <t>VALUTAZIONE RISCHIO BOTNETS</t>
  </si>
  <si>
    <t>VALUTAZIONE RISCHIO PHYSICAL MANIPULATION, DAMAGE, THEFT AND LOSS</t>
  </si>
  <si>
    <t>VALUTAZIONE RISCHIO INFORMATION LEAKAGE</t>
  </si>
  <si>
    <t>VALUTAZIONE RISCHIO RANSOMWARE</t>
  </si>
  <si>
    <t>VALUTAZIONE RISCHIO CYBERESPIONAGE</t>
  </si>
  <si>
    <t>VALUTAZIONE RISCHIO CRYPTOJACKING</t>
  </si>
  <si>
    <t>Assolutamente no</t>
  </si>
  <si>
    <t>Più no che sì</t>
  </si>
  <si>
    <t>Più sì che no</t>
  </si>
  <si>
    <t>Assolutamente sì</t>
  </si>
  <si>
    <t>K(o L)=</t>
  </si>
  <si>
    <t>M(o x0)=</t>
  </si>
  <si>
    <t>B(o k)=</t>
  </si>
  <si>
    <t>Q=</t>
  </si>
  <si>
    <t>nu=</t>
  </si>
  <si>
    <t>A=</t>
  </si>
  <si>
    <t>Attrattività</t>
  </si>
  <si>
    <t>Molto Bassa</t>
  </si>
  <si>
    <t>Bassa</t>
  </si>
  <si>
    <t>Media</t>
  </si>
  <si>
    <t>Alta</t>
  </si>
  <si>
    <t>Molto Alta</t>
  </si>
  <si>
    <t>Selezionare tipo di organizzazione:</t>
  </si>
  <si>
    <t>Online Services / Cloud</t>
  </si>
  <si>
    <t>&gt;&gt;</t>
  </si>
  <si>
    <t>Peso attrattività</t>
  </si>
  <si>
    <t>Chemical / Medical</t>
  </si>
  <si>
    <t>Religion</t>
  </si>
  <si>
    <t>Automotive</t>
  </si>
  <si>
    <t>Gov. Contractors / Consulting</t>
  </si>
  <si>
    <t>Telco</t>
  </si>
  <si>
    <t>Security Industry</t>
  </si>
  <si>
    <t>Org / ONG</t>
  </si>
  <si>
    <t>Hospitability</t>
  </si>
  <si>
    <t>Critical Infrastructures</t>
  </si>
  <si>
    <t>GDO / Retail</t>
  </si>
  <si>
    <t>Others</t>
  </si>
  <si>
    <t>Entertainment / News</t>
  </si>
  <si>
    <t>Software / Hardware / Vendor</t>
  </si>
  <si>
    <t>Research - Education</t>
  </si>
  <si>
    <t>Banking / Finance</t>
  </si>
  <si>
    <t>Healthcare</t>
  </si>
  <si>
    <t>GOV - Mil - LEAs - Intel</t>
  </si>
  <si>
    <t>Likelihood</t>
  </si>
  <si>
    <t>Engine</t>
  </si>
  <si>
    <t>Prob. Successo</t>
  </si>
  <si>
    <t>---------&gt;</t>
  </si>
  <si>
    <t>Probabilità di successo di un attacco pesata</t>
  </si>
  <si>
    <t>--------&gt;</t>
  </si>
  <si>
    <t>Minacce</t>
  </si>
  <si>
    <t>Indice complessità</t>
  </si>
  <si>
    <t>In parte</t>
  </si>
  <si>
    <t>Questionario per la stima dell'indice di COMPLESSITÀ dell'infrastruttura</t>
  </si>
  <si>
    <t>Informazioni generali</t>
  </si>
  <si>
    <t xml:space="preserve">Note </t>
  </si>
  <si>
    <t>Numero totale di dipendenti</t>
  </si>
  <si>
    <t>Numero complessivo di postazioni di lavoro (PdL)</t>
  </si>
  <si>
    <t>Numero totale di server, compresi i server virtuali</t>
  </si>
  <si>
    <t>Numero complessivo delle istanze dei vari DBMS</t>
  </si>
  <si>
    <t>Numero totale di FTE addetti tecnici al sistema informatico (dipendenti + eventuali esterni a contratto)</t>
  </si>
  <si>
    <t>Numero totale di FTE dedicato al supporto postazioni di lavoro (dipendenti + eventuali esterni a contratto)</t>
  </si>
  <si>
    <t>Complessità</t>
  </si>
  <si>
    <t>Reti e infrastruttura</t>
  </si>
  <si>
    <t>Note</t>
  </si>
  <si>
    <t>Minima</t>
  </si>
  <si>
    <t>Moderata</t>
  </si>
  <si>
    <t>Significativa</t>
  </si>
  <si>
    <t>Elevata</t>
  </si>
  <si>
    <t>Numero complessivo di Postazioni di Lavoro (PdL)</t>
  </si>
  <si>
    <t>Numero delle PdL &lt;=10</t>
  </si>
  <si>
    <t>Numero delle PdL tra 11 e 50</t>
  </si>
  <si>
    <t>Numero delle PdL tra 51 e 250</t>
  </si>
  <si>
    <t>Numero delle PdL tra 251 e 1000</t>
  </si>
  <si>
    <t>Numero delle PdL &gt;1000</t>
  </si>
  <si>
    <t xml:space="preserve">
Numero totale di server, compresi i server virtuali
</t>
  </si>
  <si>
    <t>Numero dei server &lt;= 10</t>
  </si>
  <si>
    <t>Numero dei server tra 11 e 30</t>
  </si>
  <si>
    <t>Numero dei server tra 31 e 100</t>
  </si>
  <si>
    <t>Numero dei server tra 101 e 300</t>
  </si>
  <si>
    <t>Numero dei server &gt;300</t>
  </si>
  <si>
    <t>Sistemi fisici connessi alla rete aziendale (servers, storage, switch, router, firewall) - escluso IoT</t>
  </si>
  <si>
    <t>Numero dei sistemi &lt;= 20</t>
  </si>
  <si>
    <t>Numero dei sistemi tra 21 e 50</t>
  </si>
  <si>
    <t>Numero dei sistemi tra 51 e 200</t>
  </si>
  <si>
    <t>Numero dei sistemi tra 201 e 500</t>
  </si>
  <si>
    <t>Numero dei sistemi &gt;500</t>
  </si>
  <si>
    <t>Sistemi HW in End-of-life (server, storage, switch, router e firewall)</t>
  </si>
  <si>
    <t>Nessun sistema hardware che ha superato EOL o che rischia di avvicinarsi a EOL entro 2 anni</t>
  </si>
  <si>
    <t>Pochi sistemi a rischio EOL e nessuno che supporta operazioni critiche (&lt;5%)</t>
  </si>
  <si>
    <t>Diversi sistemi che raggiungeranno EOL entro 2 anni e alcuni che supportano operazioni critiche (&lt;20%)</t>
  </si>
  <si>
    <t xml:space="preserve">
Un gran numero di sistemi che supportano operazioni critiche in EOL o sono a rischio di raggiungere EOL in 2 anni</t>
  </si>
  <si>
    <t>La maggior parte delle operazioni critiche dipende da sistemi che hanno raggiunto EOL o raggiungeranno EOL entro i prossimi 2 anni o un numero sconosciuto di sistemi che hanno raggiunto EOL</t>
  </si>
  <si>
    <t>Numero totale di connessioni esterne (sedi, uffici, punti vendita ecc.) comprese le connessioni Internet</t>
  </si>
  <si>
    <t xml:space="preserve">Connessione Internet  presso 1 sola sede    </t>
  </si>
  <si>
    <t>2 – 5 connessioni</t>
  </si>
  <si>
    <t>6 – 20 connessioni</t>
  </si>
  <si>
    <t>21 – 50 connessioni</t>
  </si>
  <si>
    <t>&gt;50 connessioni</t>
  </si>
  <si>
    <t>Numero di connessioni (non utenti) dall'esterno non sicure ( FTP, Telnet, rlogin, VNC ..)</t>
  </si>
  <si>
    <t>Nessuna</t>
  </si>
  <si>
    <t>1 istanze di connessioni non protette</t>
  </si>
  <si>
    <t>2-3 istanze di connessioni non protette</t>
  </si>
  <si>
    <t>4-7 connessioni non protette</t>
  </si>
  <si>
    <t>&gt;7 connessioni non protette</t>
  </si>
  <si>
    <t>Clienti o partner con connessioni dedicate</t>
  </si>
  <si>
    <t>1-3 connessioni dedicate</t>
  </si>
  <si>
    <t>4-8 connessioni dedicate</t>
  </si>
  <si>
    <t>9-20 connessioni dedicate</t>
  </si>
  <si>
    <t>&gt;20 connessioni dedicate</t>
  </si>
  <si>
    <t xml:space="preserve">Accesso a Reti Wireless </t>
  </si>
  <si>
    <t>Nessuna rete wireless</t>
  </si>
  <si>
    <t>Numero significativo di utenti della rete wireless o di access point (26–50 access points)</t>
  </si>
  <si>
    <t>Numero elevato di utenti della rete wireless  o di access point (&gt;100 access points)</t>
  </si>
  <si>
    <t>Utilizzo di dispositivi personali in grado di collegarsi alla rete aziendale</t>
  </si>
  <si>
    <t>Nessuno</t>
  </si>
  <si>
    <t>Fino al 10% dei dipendenti autorizzati</t>
  </si>
  <si>
    <t>Fino al &lt;25% dei dipendenti autorizzati</t>
  </si>
  <si>
    <t>più del 25% di dipendenti</t>
  </si>
  <si>
    <t>Numero di istallazioni di Sistemi Operativi SERVER in End-of-life (privi di supporto ufficiale del produttore)</t>
  </si>
  <si>
    <t>Nessun sistema operativo SERVER che ha superato EOL o arriverà EOL entro 1 anno</t>
  </si>
  <si>
    <t>Numero dei sistemi operativi SERVER che hanno superato EOL o arriveranno EOL entro 1 anno &lt; 5%</t>
  </si>
  <si>
    <t>Numero x dei sistemi operativi SERVER che hanno superato EOL o arriveranno EOL entro 1 anno
(5% &lt; x &lt;=10%)</t>
  </si>
  <si>
    <t>Numero x dei sistemi operativi SERVER che hanno superato EOL oarriveranno EOL entro 1 anno
(10% &lt; x &lt;=15%)</t>
  </si>
  <si>
    <t>Numero dei sistemi operativi SERVER che hanno superato EOL o arriveranno EOL entro 1 anno &gt; 15%</t>
  </si>
  <si>
    <t>Numero di istallazioni di Sistemi Operativi CLIENT in End-of-life (privi di supporto ufficiale del produttore)</t>
  </si>
  <si>
    <t>Nessun sistema operativo CLIENT ha superato EOL o arriverà EOL entro 1 anno</t>
  </si>
  <si>
    <t>Numero dei sistemi operativi CLIENT che hanno superato EOL o arriveranno EOL entro 1 anno &lt; 5%</t>
  </si>
  <si>
    <t>Numero x dei sistemi operativi CLIENT che hanno superato EOL o arriveranno EOL entro 1 anno
(5% &lt; x &lt;=10%)</t>
  </si>
  <si>
    <t>Numero x dei sistemi operativi CLIENT che hanno superato EOL oarriveranno EOL entro 1 anno
(10% &lt; x &lt;=15%)</t>
  </si>
  <si>
    <t>Numero dei sistemi operativi CLIENT che hanno superato EOL o arriveranno EOL entro 1 anno &gt; 15%</t>
  </si>
  <si>
    <t>Tecnologia su reti IP</t>
  </si>
  <si>
    <t>Videosorveglianza digitale su protocollo TCP/IP</t>
  </si>
  <si>
    <t>Nessuna telecamera configurata/installata o utilizzo di sole telecamere analogiche</t>
  </si>
  <si>
    <t>1-10 Telecamere IP</t>
  </si>
  <si>
    <t>10-50 Telecamere IP</t>
  </si>
  <si>
    <t>50-200 TelecamereIP</t>
  </si>
  <si>
    <t>&gt;200 Telecamere IP</t>
  </si>
  <si>
    <t>Sistemi certificati per applicazioni specialistiche (ad esempio medical device o sistemi industriali)</t>
  </si>
  <si>
    <t>Nessun sistema per applicazioni specialistiche</t>
  </si>
  <si>
    <t>Presenza di applicazioni con impatto basso sul business</t>
  </si>
  <si>
    <t>Presenza di aplicazioni con impatto moderato sul business</t>
  </si>
  <si>
    <t>Presenza di applicazioni con impatto significativo sul business</t>
  </si>
  <si>
    <t>Impattodeterminate sul business OPPURE presenza di Applicazioni life critical</t>
  </si>
  <si>
    <t>Numero altri sistemi IoT su tecnologia IP</t>
  </si>
  <si>
    <t>Numero dei sistemi IoT su IP &lt;=20</t>
  </si>
  <si>
    <t>Numero dei sistemi IoT su IP tra 21 e 100</t>
  </si>
  <si>
    <t>Numero dei sistemi IoT su IP tra 101 e 500</t>
  </si>
  <si>
    <t>Numero dei sistemi IoT su IP tra 501 e 1000</t>
  </si>
  <si>
    <t>Numero dei sistemi IoT su IP &gt;1000</t>
  </si>
  <si>
    <t>Tecnologia VoIP - Telefonia</t>
  </si>
  <si>
    <t>Nessun terminale VoIP</t>
  </si>
  <si>
    <t>Livello percentuale medio di terminali VoIP, rispetto agli apparecchi tradizionali &lt;10%</t>
  </si>
  <si>
    <t>Livello percentuale medio di terminali VoIP, rispetto agli apparecchi tradizionali, compreso fra il 10% e il 50%</t>
  </si>
  <si>
    <t>Livello percentuale medio di terminali VoIP, rispetto agli apparecchi tradizionali , compreso fra il 50% e il 75%</t>
  </si>
  <si>
    <t>Livello percentuale medio di terminali VoIP, rispetto agli apparecchi tradizionali &gt; 75%</t>
  </si>
  <si>
    <t>Applicazioni</t>
  </si>
  <si>
    <t>Numero minimo di istanze: (0-3)</t>
  </si>
  <si>
    <t>Poche applicazioni (4-10)</t>
  </si>
  <si>
    <t>Diverse applicazioni (11–20)</t>
  </si>
  <si>
    <t>Numero significativo di applicazioni (21–40)</t>
  </si>
  <si>
    <t>&gt;40</t>
  </si>
  <si>
    <t>Numero di DBMS utilizzati, comprese le differenti versioni nell'ambito dello stesso DBMS</t>
  </si>
  <si>
    <t>Numero di DBMS e diverse versioni &lt;=1</t>
  </si>
  <si>
    <t>Numero di DBMS e diverse versioni tra 2 e 5</t>
  </si>
  <si>
    <t>Numero di DBMS e diverse versioni tra 5 e 10</t>
  </si>
  <si>
    <t>Numero di DBMS e diverse versioni tra 10 e 20</t>
  </si>
  <si>
    <t>Numero di DBMS e diverse versioni: &gt;20</t>
  </si>
  <si>
    <t>Utilizzo di sistemi di Identity access management</t>
  </si>
  <si>
    <t>Utilizzo del solo Active Directory</t>
  </si>
  <si>
    <t>Active directory + LDAP</t>
  </si>
  <si>
    <t>Active directory + SSO</t>
  </si>
  <si>
    <t>Sistemi di IAM non integrati con HR</t>
  </si>
  <si>
    <t>IAM integrato con sistemi di HR</t>
  </si>
  <si>
    <t>Applicazioni e/o processi che trattano dati personali</t>
  </si>
  <si>
    <t>L'organizzazione tratta solo dati personali dei dipendenti</t>
  </si>
  <si>
    <t>L'organizzazione tratta anche dati personali dei clienti/utenti persone fisiche con finalità esclusiva di fatturazione dei prodotti/servizi erogati</t>
  </si>
  <si>
    <t>L'organizzazione tratta dati personali dei clienti/utenti per ulteriori finalità oltre la fatturazione (es: marketing, servizi ecc.)</t>
  </si>
  <si>
    <t>L'organizzazione tratta dati personali sensibili dei clienti/utenti OPPURE effettua trattamenti di profilazione (anche di dati non sensibili)</t>
  </si>
  <si>
    <t>L'organizzazione tratta dati personali dei clienti/utenti su LARGA SCALA</t>
  </si>
  <si>
    <t>Livello di integrazione applicativa</t>
  </si>
  <si>
    <t>Nessuna applicazione integrata</t>
  </si>
  <si>
    <t>Integrazione di 2 applicazioni core</t>
  </si>
  <si>
    <t>Integrazione di un numero di applicazioni core tra 3 e 5</t>
  </si>
  <si>
    <t>Integrazione di 5-10 applicazioni core</t>
  </si>
  <si>
    <t>Integrazione di più di 10 applicazioni core</t>
  </si>
  <si>
    <t>Servizi online</t>
  </si>
  <si>
    <t xml:space="preserve">Interazione e integrazione con social media </t>
  </si>
  <si>
    <t>Nessuna applicazione Web o presenza sui social media</t>
  </si>
  <si>
    <t>Presenza di un sito Web informativo o una pagina di social media</t>
  </si>
  <si>
    <t>La presenza online funge da canale di consegna; possibilità per l'azienda di comunicare ai clienti attraverso i social media</t>
  </si>
  <si>
    <t>La presenza online funge da canale di consegna per la maggior parte dei clienti</t>
  </si>
  <si>
    <t>Le applicazioni Internet fungono da canale per la gestione di beni di valore elevato</t>
  </si>
  <si>
    <t>Erogazione di servizi On-line (compresa extranet)</t>
  </si>
  <si>
    <t>Accesso basato su browser per servizi elementari</t>
  </si>
  <si>
    <t>Applicazioni On-Line per i clienti al dettaglio</t>
  </si>
  <si>
    <t>Le applicazioni On-Line costituiscono un driver rilevante per effettuare il business</t>
  </si>
  <si>
    <t>Le applicazioni on-line sono fortemente integrate con i sistemi interni e costituiscono il driver principale di erogazione del business</t>
  </si>
  <si>
    <t>Erogazione di servizi su Mobile (compresa extranet)</t>
  </si>
  <si>
    <t>Avvisi di testo per SMS; accesso basato su browser</t>
  </si>
  <si>
    <t>Applicazioni mobile per i clienti al dettaglio</t>
  </si>
  <si>
    <t>Le applicazioni mobile includono anche transazioni verso l'esterno</t>
  </si>
  <si>
    <t>Pieno utilizzo di applicazioni mobile per l'erogazione dei servizi aziendali</t>
  </si>
  <si>
    <t>Reparto IT</t>
  </si>
  <si>
    <t>Fusioni e acquisizioni (comprese cessioni e joint venture)</t>
  </si>
  <si>
    <t>Nessuna fusione o acquisizione pianificata</t>
  </si>
  <si>
    <t xml:space="preserve"> Valutata l'opportunità e avviata la ricerca di M&amp;A</t>
  </si>
  <si>
    <t>In discussione con almeno 1 controparte</t>
  </si>
  <si>
    <t>Fusioni acquisizioni cessioni  annunciate pubblicamente, in trattativa avanzata con almeno una controparte</t>
  </si>
  <si>
    <t>Fusioni acquisizioni o cessioni in corso</t>
  </si>
  <si>
    <t>Cambiamenti nel personale IT</t>
  </si>
  <si>
    <t>Posizioni chiave coperte; basso o nullo turnover del personale</t>
  </si>
  <si>
    <t>Posti vacanti del personale IT solo nei ruoli non critici</t>
  </si>
  <si>
    <t>Alcuni posti vacanti in posizioni chiave o da senior</t>
  </si>
  <si>
    <t>Frequente turnover in posizioni chiave o dirigenziali</t>
  </si>
  <si>
    <t>Posti vacanti in posizioni chiave o dirigenziali per lunghi periodi; alto livello di turnover dei dipendenti in IT</t>
  </si>
  <si>
    <t>Ammistratori di sistema (Administrators, network, database, applications, systems, etc.)</t>
  </si>
  <si>
    <t>Numero adeguato di ammistratori di sistema, turnover molto basso, pochi o nessun ammistratore di sistema esterno</t>
  </si>
  <si>
    <t>Il turnover negli amministratori non influisce significativamente sulle operazioni o attività; viene utilizzato un numero limitato di amministratori di sistema esterni</t>
  </si>
  <si>
    <t>Elevata dipendenza da amministratori esterni; il numero di amministratori non è sufficiente per supportare le normali attività o la velocità di cambiamento</t>
  </si>
  <si>
    <t>Alto turnover degli amministratori di sistema; la maggior parte degli amministratori sono esterni (fornitori o venditori); l'esperienza degli ammistratori di sistema è limitata o insufficiente</t>
  </si>
  <si>
    <t>Terze Parti (fornitori, subappaltatori, consulenti, stagisti ecc.)  aventi accesso ai sistemi interni aziendali</t>
  </si>
  <si>
    <t>Nessun accesso ai sistemi interni da parte di terze parti o di individui esterni</t>
  </si>
  <si>
    <t>Numero delle terze parti: (1-5)</t>
  </si>
  <si>
    <t xml:space="preserve">Numero delle terze parti: (6–10) </t>
  </si>
  <si>
    <t>Numero delle terze parti: (11–25)</t>
  </si>
  <si>
    <t xml:space="preserve">Numero delle terze parti: (&gt;25) </t>
  </si>
  <si>
    <t>Cambiamenti dell'ambiente IT (es. network, infrastructure, critical applications, technologies supporting new products or services)</t>
  </si>
  <si>
    <t>Ambiente IT stabile</t>
  </si>
  <si>
    <t>Cambiamenti rari o minimi nell'ambiente IT</t>
  </si>
  <si>
    <t>Frequente adozione di nuove tecnologie</t>
  </si>
  <si>
    <t>Il volume dei cambiamenti significativi è alto</t>
  </si>
  <si>
    <t>Cambiamenti sostanziali nei fornitori in outsourcing di servizi IT critici; frequenti, complessi e grandi cambiamenti nell'ambiente IT</t>
  </si>
  <si>
    <t>Localizzazione delle sedi aziendali</t>
  </si>
  <si>
    <t>Singola sede locale</t>
  </si>
  <si>
    <t>Diffusione Regionale</t>
  </si>
  <si>
    <t>Diffusione Nazionale</t>
  </si>
  <si>
    <t xml:space="preserve">Diffusione su scala Europea </t>
  </si>
  <si>
    <t>Diffusione su scala Europea ed extra europea</t>
  </si>
  <si>
    <t>Complessità Intrinseca complessiva</t>
  </si>
  <si>
    <t>Valore assoluto</t>
  </si>
  <si>
    <t>Complessità Intrinseca complessiva (Ponderato)</t>
  </si>
  <si>
    <t>Peso</t>
  </si>
  <si>
    <t>Livello di complessità</t>
  </si>
  <si>
    <t>Complessità pesata</t>
  </si>
  <si>
    <t>Num. quesiti</t>
  </si>
  <si>
    <t>Peso %</t>
  </si>
  <si>
    <t>Tecnologie su reti IP</t>
  </si>
  <si>
    <t xml:space="preserve">Applicazioni </t>
  </si>
  <si>
    <t>Complessità media</t>
  </si>
  <si>
    <t>tot</t>
  </si>
  <si>
    <t>Complessità media pesata</t>
  </si>
  <si>
    <t>Maturità</t>
  </si>
  <si>
    <t>Num. Intervalli di tempo</t>
  </si>
  <si>
    <t>Num. Attacchi anno precedente</t>
  </si>
  <si>
    <t>s</t>
  </si>
  <si>
    <t>Probabilità di successo di un attacco</t>
  </si>
  <si>
    <t>Probabilità di SUCCESSO</t>
  </si>
  <si>
    <t xml:space="preserve"> </t>
  </si>
  <si>
    <t>HTMA</t>
  </si>
  <si>
    <t>Probabilità di ACCADIMENTO</t>
  </si>
  <si>
    <t>Inserisci questi dati:</t>
  </si>
  <si>
    <t>CONTROLLI</t>
  </si>
  <si>
    <t>TABELLA PESI</t>
  </si>
  <si>
    <t>LOGISTICA</t>
  </si>
  <si>
    <t>Controlli ESSENZIALI di cybersecurity</t>
  </si>
  <si>
    <t>score</t>
  </si>
  <si>
    <t>Indice di maturità medio</t>
  </si>
  <si>
    <t>Scenario</t>
  </si>
  <si>
    <t>Descrivi brevemente lo scenario di rischio sotto analisi</t>
  </si>
  <si>
    <t>Indice di maturità</t>
  </si>
  <si>
    <t>FAIR</t>
  </si>
  <si>
    <t>Nome organizzazione</t>
  </si>
  <si>
    <t>-</t>
  </si>
  <si>
    <t>Dati di contatto del referente</t>
  </si>
  <si>
    <t>aaa@bbb.it</t>
  </si>
  <si>
    <t>Valutazione effettuata in data</t>
  </si>
  <si>
    <t>Descrizione generale dell'infrastruttura</t>
  </si>
  <si>
    <t>Descrizione generale delle modalità di gestione dell'infrastruttura</t>
  </si>
  <si>
    <t>Frequenza di accadimento</t>
  </si>
  <si>
    <t>n° tentativi attacco (previsto)</t>
  </si>
  <si>
    <t>Questionario per la stima dell'indice di MATURITÀ</t>
  </si>
  <si>
    <t>Modello di valutazione rischio cyber</t>
  </si>
  <si>
    <t>Indice di complessità</t>
  </si>
  <si>
    <t>Massimo 5% dei dipendenti autorizzati</t>
  </si>
  <si>
    <r>
      <t>periodo di tempo (</t>
    </r>
    <r>
      <rPr>
        <i/>
        <sz val="16"/>
        <color theme="1"/>
        <rFont val="Calibri"/>
        <family val="2"/>
        <scheme val="minor"/>
      </rPr>
      <t>gg</t>
    </r>
    <r>
      <rPr>
        <sz val="16"/>
        <color theme="1"/>
        <rFont val="Calibri"/>
        <family val="2"/>
        <scheme val="minor"/>
      </rPr>
      <t>)</t>
    </r>
  </si>
  <si>
    <r>
      <t>delta t (</t>
    </r>
    <r>
      <rPr>
        <i/>
        <sz val="16"/>
        <color theme="1"/>
        <rFont val="Calibri"/>
        <family val="2"/>
        <scheme val="minor"/>
      </rPr>
      <t>gg</t>
    </r>
    <r>
      <rPr>
        <sz val="16"/>
        <color theme="1"/>
        <rFont val="Calibri"/>
        <family val="2"/>
        <scheme val="minor"/>
      </rPr>
      <t>)</t>
    </r>
  </si>
  <si>
    <t>n° incidenti</t>
  </si>
  <si>
    <t>CLICCA il bottone per calcolare la probabilità:</t>
  </si>
  <si>
    <t>Inserisci:</t>
  </si>
  <si>
    <r>
      <t xml:space="preserve">Profilo complessità
</t>
    </r>
    <r>
      <rPr>
        <b/>
        <i/>
        <sz val="16"/>
        <color theme="0"/>
        <rFont val="Calibri"/>
        <family val="2"/>
        <scheme val="minor"/>
      </rPr>
      <t xml:space="preserve"> (per categoria)</t>
    </r>
  </si>
  <si>
    <r>
      <t>Il turnover negli amministratori influisce sulle operazioni.</t>
    </r>
    <r>
      <rPr>
        <strike/>
        <sz val="16"/>
        <color theme="1"/>
        <rFont val="Calibri"/>
        <family val="2"/>
        <scheme val="minor"/>
      </rPr>
      <t xml:space="preserve">
</t>
    </r>
    <r>
      <rPr>
        <sz val="16"/>
        <color theme="1"/>
        <rFont val="Calibri"/>
        <family val="2"/>
        <scheme val="minor"/>
      </rPr>
      <t>il numero degli amministratori esteni è significativo.</t>
    </r>
  </si>
  <si>
    <t>CLICCA il bottone per calcolare le probabilità:</t>
  </si>
  <si>
    <t>Nome Cognome</t>
  </si>
  <si>
    <t>Tool per il calcolo delle probabilità di incidenti cyber (FAIR)</t>
  </si>
  <si>
    <t>Seleziona:</t>
  </si>
  <si>
    <t>Web based attacks</t>
  </si>
  <si>
    <t>Physical manipulation damage theft and loss</t>
  </si>
  <si>
    <t>Probabilita' di ACCADIMENTO</t>
  </si>
  <si>
    <t>Inserisci:
LB (euro)</t>
  </si>
  <si>
    <t>Inserisci:
UB (euro)</t>
  </si>
  <si>
    <t>Tool per il calcolo delle probabilità di incidenti cyber</t>
  </si>
  <si>
    <t>Numero di access point 
1-5</t>
  </si>
  <si>
    <t>Numero di access point 
6 -25</t>
  </si>
  <si>
    <r>
      <t>PROBABILIT</t>
    </r>
    <r>
      <rPr>
        <b/>
        <sz val="16"/>
        <color theme="0"/>
        <rFont val="Calibri"/>
        <family val="2"/>
      </rPr>
      <t>À di accadimento</t>
    </r>
  </si>
  <si>
    <r>
      <rPr>
        <sz val="16"/>
        <color theme="0"/>
        <rFont val="Calibri"/>
        <family val="2"/>
        <scheme val="minor"/>
      </rPr>
      <t xml:space="preserve">Inserisci limite </t>
    </r>
    <r>
      <rPr>
        <b/>
        <sz val="16"/>
        <color theme="0"/>
        <rFont val="Calibri"/>
        <family val="2"/>
        <scheme val="minor"/>
      </rPr>
      <t>inferiore:
LB (euro)</t>
    </r>
  </si>
  <si>
    <r>
      <rPr>
        <sz val="16"/>
        <color theme="0"/>
        <rFont val="Calibri"/>
        <family val="2"/>
        <scheme val="minor"/>
      </rPr>
      <t>Inserisci limite</t>
    </r>
    <r>
      <rPr>
        <b/>
        <sz val="16"/>
        <color theme="0"/>
        <rFont val="Calibri"/>
        <family val="2"/>
        <scheme val="minor"/>
      </rPr>
      <t xml:space="preserve"> superiore:
UB (euro)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</si>
</sst>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00"/>
  </numFmts>
  <fonts count="66" x14ac:knownFonts="1">
    <font>
      <sz val="11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vertAlign val="subscript"/>
      <sz val="18"/>
      <color theme="1"/>
      <name val="Calibri"/>
      <family val="2"/>
      <scheme val="minor"/>
    </font>
    <font>
      <vertAlign val="superscript"/>
      <sz val="18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theme="0" tint="-0.499984740745262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0"/>
      <name val="Arial"/>
      <family val="2"/>
    </font>
    <font>
      <strike/>
      <sz val="12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8"/>
      <color theme="0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20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2"/>
      <name val="Calibri"/>
      <family val="2"/>
      <scheme val="minor"/>
    </font>
    <font>
      <sz val="10"/>
      <name val="Calibri"/>
      <family val="2"/>
      <scheme val="minor"/>
    </font>
    <font>
      <b/>
      <sz val="11"/>
      <color theme="3" tint="-0.499984740745262"/>
      <name val="Calibri"/>
      <family val="2"/>
      <scheme val="minor"/>
    </font>
    <font>
      <sz val="11"/>
      <color theme="3" tint="-0.499984740745262"/>
      <name val="Calibri"/>
      <family val="2"/>
      <scheme val="minor"/>
    </font>
    <font>
      <b/>
      <i/>
      <sz val="18"/>
      <name val="Calibri"/>
      <family val="2"/>
      <scheme val="minor"/>
    </font>
    <font>
      <b/>
      <i/>
      <sz val="12"/>
      <name val="Calibri"/>
      <family val="2"/>
      <scheme val="minor"/>
    </font>
    <font>
      <b/>
      <sz val="20"/>
      <name val="Calibri"/>
      <family val="2"/>
      <scheme val="minor"/>
    </font>
    <font>
      <sz val="20"/>
      <name val="Calibri"/>
      <family val="2"/>
      <scheme val="minor"/>
    </font>
    <font>
      <b/>
      <sz val="18"/>
      <color rgb="FF000000"/>
      <name val="Calibri"/>
      <family val="2"/>
      <scheme val="minor"/>
    </font>
    <font>
      <sz val="18"/>
      <name val="Calibri"/>
      <family val="2"/>
      <scheme val="minor"/>
    </font>
    <font>
      <b/>
      <i/>
      <sz val="18"/>
      <color theme="1"/>
      <name val="Calibri"/>
      <family val="2"/>
      <scheme val="minor"/>
    </font>
    <font>
      <b/>
      <i/>
      <sz val="18"/>
      <color rgb="FFC00000"/>
      <name val="Calibri"/>
      <family val="2"/>
      <scheme val="minor"/>
    </font>
    <font>
      <b/>
      <sz val="18"/>
      <color rgb="FFFF0000"/>
      <name val="Calibri"/>
      <family val="2"/>
      <scheme val="minor"/>
    </font>
    <font>
      <i/>
      <sz val="16"/>
      <color theme="1"/>
      <name val="Calibri"/>
      <family val="2"/>
      <scheme val="minor"/>
    </font>
    <font>
      <b/>
      <sz val="16"/>
      <color rgb="FFC00000"/>
      <name val="Calibri"/>
      <family val="2"/>
      <scheme val="minor"/>
    </font>
    <font>
      <b/>
      <sz val="16"/>
      <color theme="0" tint="-0.249977111117893"/>
      <name val="Calibri"/>
      <family val="2"/>
      <scheme val="minor"/>
    </font>
    <font>
      <b/>
      <i/>
      <sz val="16"/>
      <color theme="0"/>
      <name val="Calibri"/>
      <family val="2"/>
      <scheme val="minor"/>
    </font>
    <font>
      <sz val="16"/>
      <color theme="3" tint="-0.499984740745262"/>
      <name val="Calibri"/>
      <family val="2"/>
      <scheme val="minor"/>
    </font>
    <font>
      <i/>
      <sz val="16"/>
      <color theme="3" tint="-0.499984740745262"/>
      <name val="Calibri"/>
      <family val="2"/>
      <scheme val="minor"/>
    </font>
    <font>
      <b/>
      <sz val="16"/>
      <color rgb="FF000000"/>
      <name val="Calibri"/>
      <family val="2"/>
      <scheme val="minor"/>
    </font>
    <font>
      <sz val="16"/>
      <name val="Calibri"/>
      <family val="2"/>
      <scheme val="minor"/>
    </font>
    <font>
      <sz val="16"/>
      <color rgb="FF000000"/>
      <name val="Calibri"/>
      <family val="2"/>
      <scheme val="minor"/>
    </font>
    <font>
      <b/>
      <sz val="16"/>
      <name val="Calibri"/>
      <family val="2"/>
      <scheme val="minor"/>
    </font>
    <font>
      <b/>
      <sz val="16"/>
      <color theme="0"/>
      <name val="Calibri"/>
      <family val="2"/>
      <scheme val="minor"/>
    </font>
    <font>
      <sz val="16"/>
      <color theme="0"/>
      <name val="Calibri"/>
      <family val="2"/>
      <scheme val="minor"/>
    </font>
    <font>
      <sz val="16"/>
      <color theme="0" tint="-0.249977111117893"/>
      <name val="Calibri"/>
      <family val="2"/>
      <scheme val="minor"/>
    </font>
    <font>
      <sz val="16"/>
      <color rgb="FFEA0000"/>
      <name val="Calibri"/>
      <family val="2"/>
      <scheme val="minor"/>
    </font>
    <font>
      <strike/>
      <sz val="16"/>
      <color theme="1"/>
      <name val="Calibri"/>
      <family val="2"/>
      <scheme val="minor"/>
    </font>
    <font>
      <sz val="16"/>
      <color rgb="FFFF0000"/>
      <name val="Arial Black"/>
      <family val="2"/>
    </font>
    <font>
      <u/>
      <sz val="16"/>
      <color theme="10"/>
      <name val="Calibri"/>
      <family val="2"/>
      <scheme val="minor"/>
    </font>
    <font>
      <sz val="16"/>
      <color theme="3" tint="0.79998168889431442"/>
      <name val="Calibri"/>
      <family val="2"/>
      <scheme val="minor"/>
    </font>
    <font>
      <sz val="16"/>
      <color theme="9" tint="-0.249977111117893"/>
      <name val="Calibri"/>
      <family val="2"/>
      <scheme val="minor"/>
    </font>
    <font>
      <sz val="16"/>
      <color theme="0" tint="-0.499984740745262"/>
      <name val="Calibri"/>
      <family val="2"/>
      <scheme val="minor"/>
    </font>
    <font>
      <b/>
      <sz val="12"/>
      <color rgb="FF000000"/>
      <name val="Calibri"/>
      <family val="2"/>
      <scheme val="minor"/>
    </font>
    <font>
      <i/>
      <sz val="12"/>
      <name val="Calibri"/>
      <family val="2"/>
      <scheme val="minor"/>
    </font>
    <font>
      <sz val="12"/>
      <name val="Calibri"/>
      <family val="2"/>
      <scheme val="minor"/>
    </font>
    <font>
      <sz val="12"/>
      <color rgb="FF000000"/>
      <name val="Calibri"/>
      <family val="2"/>
      <scheme val="minor"/>
    </font>
    <font>
      <sz val="12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2"/>
      <color rgb="FFC00000"/>
      <name val="Calibri"/>
      <family val="2"/>
      <scheme val="minor"/>
    </font>
    <font>
      <b/>
      <sz val="16"/>
      <color rgb="FFFF0000"/>
      <name val="Calibri"/>
      <family val="2"/>
      <scheme val="minor"/>
    </font>
    <font>
      <b/>
      <sz val="16"/>
      <color theme="0"/>
      <name val="Calibri"/>
      <family val="2"/>
    </font>
  </fonts>
  <fills count="51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CA304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9797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DFAC7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FFFF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E6EDF6"/>
        <bgColor indexed="64"/>
      </patternFill>
    </fill>
    <fill>
      <patternFill patternType="solid">
        <fgColor rgb="FFF89C9C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EFF6FB"/>
        <bgColor indexed="64"/>
      </patternFill>
    </fill>
    <fill>
      <patternFill patternType="solid">
        <fgColor rgb="FFE9EDF7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</fills>
  <borders count="1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 diagonalDown="1">
      <left style="medium">
        <color indexed="64"/>
      </left>
      <right/>
      <top style="medium">
        <color indexed="64"/>
      </top>
      <bottom style="medium">
        <color indexed="64"/>
      </bottom>
      <diagonal style="medium">
        <color indexed="64"/>
      </diagonal>
    </border>
    <border diagonalDown="1">
      <left/>
      <right style="medium">
        <color indexed="64"/>
      </right>
      <top style="medium">
        <color indexed="64"/>
      </top>
      <bottom style="medium">
        <color indexed="64"/>
      </bottom>
      <diagonal style="medium">
        <color indexed="64"/>
      </diagonal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theme="1"/>
      </left>
      <right style="thin">
        <color theme="1"/>
      </right>
      <top style="medium">
        <color theme="1"/>
      </top>
      <bottom style="thin">
        <color theme="1"/>
      </bottom>
      <diagonal/>
    </border>
    <border>
      <left/>
      <right style="medium">
        <color theme="1"/>
      </right>
      <top style="medium">
        <color theme="1"/>
      </top>
      <bottom style="thin">
        <color indexed="64"/>
      </bottom>
      <diagonal/>
    </border>
    <border>
      <left style="medium">
        <color theme="1"/>
      </left>
      <right style="thin">
        <color theme="1"/>
      </right>
      <top style="thin">
        <color theme="1"/>
      </top>
      <bottom style="medium">
        <color theme="1"/>
      </bottom>
      <diagonal/>
    </border>
    <border>
      <left/>
      <right style="medium">
        <color theme="1"/>
      </right>
      <top style="thin">
        <color indexed="64"/>
      </top>
      <bottom style="medium">
        <color theme="1"/>
      </bottom>
      <diagonal/>
    </border>
    <border>
      <left style="medium">
        <color theme="1"/>
      </left>
      <right style="medium">
        <color theme="1"/>
      </right>
      <top style="medium">
        <color theme="1"/>
      </top>
      <bottom style="thin">
        <color theme="1"/>
      </bottom>
      <diagonal/>
    </border>
    <border>
      <left style="medium">
        <color theme="1"/>
      </left>
      <right style="medium">
        <color theme="1"/>
      </right>
      <top style="thin">
        <color theme="1"/>
      </top>
      <bottom style="thin">
        <color theme="1"/>
      </bottom>
      <diagonal/>
    </border>
    <border>
      <left style="medium">
        <color theme="1"/>
      </left>
      <right style="medium">
        <color theme="1"/>
      </right>
      <top style="thin">
        <color theme="1"/>
      </top>
      <bottom style="medium">
        <color theme="1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theme="1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medium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medium">
        <color indexed="64"/>
      </bottom>
      <diagonal/>
    </border>
    <border>
      <left style="thin">
        <color theme="0" tint="-0.24994659260841701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rgb="FFA2A2A2"/>
      </right>
      <top style="medium">
        <color indexed="64"/>
      </top>
      <bottom style="medium">
        <color indexed="64"/>
      </bottom>
      <diagonal/>
    </border>
    <border>
      <left style="thin">
        <color rgb="FFA2A2A2"/>
      </left>
      <right style="thin">
        <color rgb="FFA2A2A2"/>
      </right>
      <top style="medium">
        <color indexed="64"/>
      </top>
      <bottom style="medium">
        <color indexed="64"/>
      </bottom>
      <diagonal/>
    </border>
    <border>
      <left style="thin">
        <color rgb="FFA2A2A2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theme="0" tint="-0.24994659260841701"/>
      </right>
      <top style="medium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medium">
        <color indexed="64"/>
      </bottom>
      <diagonal/>
    </border>
    <border>
      <left/>
      <right style="thin">
        <color theme="0" tint="-0.249977111117893"/>
      </right>
      <top style="thin">
        <color theme="0" tint="-0.249977111117893"/>
      </top>
      <bottom/>
      <diagonal/>
    </border>
    <border>
      <left/>
      <right style="thin">
        <color theme="0" tint="-0.249977111117893"/>
      </right>
      <top/>
      <bottom/>
      <diagonal/>
    </border>
    <border>
      <left style="thin">
        <color theme="0" tint="-0.34998626667073579"/>
      </left>
      <right style="thin">
        <color theme="0" tint="-0.34998626667073579"/>
      </right>
      <top/>
      <bottom style="medium">
        <color indexed="64"/>
      </bottom>
      <diagonal/>
    </border>
    <border>
      <left style="thin">
        <color theme="0" tint="-0.34998626667073579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rgb="FFA2A2A2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theme="0" tint="-0.24994659260841701"/>
      </right>
      <top style="medium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medium">
        <color indexed="64"/>
      </top>
      <bottom/>
      <diagonal/>
    </border>
    <border>
      <left style="thin">
        <color theme="0" tint="-0.24994659260841701"/>
      </left>
      <right style="medium">
        <color indexed="64"/>
      </right>
      <top style="medium">
        <color indexed="64"/>
      </top>
      <bottom/>
      <diagonal/>
    </border>
    <border>
      <left style="thin">
        <color theme="0" tint="-0.24994659260841701"/>
      </left>
      <right/>
      <top style="medium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medium">
        <color indexed="64"/>
      </bottom>
      <diagonal/>
    </border>
    <border>
      <left/>
      <right style="thin">
        <color theme="0" tint="-0.249977111117893"/>
      </right>
      <top/>
      <bottom style="thin">
        <color theme="0" tint="-0.249977111117893"/>
      </bottom>
      <diagonal/>
    </border>
    <border>
      <left/>
      <right/>
      <top/>
      <bottom style="double">
        <color theme="0" tint="-0.34998626667073579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thin">
        <color theme="2" tint="-9.9978637043366805E-2"/>
      </left>
      <right/>
      <top/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hair">
        <color indexed="64"/>
      </right>
      <top style="medium">
        <color indexed="64"/>
      </top>
      <bottom/>
      <diagonal/>
    </border>
    <border>
      <left/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ouble">
        <color theme="0" tint="-0.34998626667073579"/>
      </bottom>
      <diagonal/>
    </border>
    <border>
      <left/>
      <right style="thin">
        <color indexed="64"/>
      </right>
      <top style="medium">
        <color indexed="64"/>
      </top>
      <bottom/>
      <diagonal/>
    </border>
  </borders>
  <cellStyleXfs count="5">
    <xf numFmtId="0" fontId="0" fillId="0" borderId="0"/>
    <xf numFmtId="9" fontId="9" fillId="0" borderId="0" applyFont="0" applyFill="0" applyBorder="0" applyAlignment="0" applyProtection="0"/>
    <xf numFmtId="0" fontId="12" fillId="0" borderId="0"/>
    <xf numFmtId="0" fontId="9" fillId="0" borderId="0"/>
    <xf numFmtId="0" fontId="19" fillId="0" borderId="0" applyNumberFormat="0" applyFill="0" applyBorder="0" applyAlignment="0" applyProtection="0"/>
  </cellStyleXfs>
  <cellXfs count="852">
    <xf numFmtId="0" fontId="0" fillId="0" borderId="0" xfId="0"/>
    <xf numFmtId="0" fontId="0" fillId="0" borderId="0" xfId="0" applyAlignment="1">
      <alignment horizontal="center" vertical="center" wrapText="1"/>
    </xf>
    <xf numFmtId="0" fontId="0" fillId="0" borderId="2" xfId="0" applyBorder="1" applyAlignment="1">
      <alignment horizontal="center" vertical="center" wrapText="1"/>
    </xf>
    <xf numFmtId="0" fontId="0" fillId="0" borderId="4" xfId="0" applyBorder="1" applyAlignment="1">
      <alignment horizontal="center" vertical="center" wrapText="1"/>
    </xf>
    <xf numFmtId="0" fontId="0" fillId="0" borderId="8" xfId="0" applyBorder="1" applyAlignment="1">
      <alignment horizontal="center" vertical="center" wrapText="1"/>
    </xf>
    <xf numFmtId="0" fontId="0" fillId="0" borderId="9" xfId="0" applyBorder="1" applyAlignment="1">
      <alignment horizontal="center" vertical="center" wrapText="1"/>
    </xf>
    <xf numFmtId="0" fontId="0" fillId="0" borderId="10" xfId="0" applyBorder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0" fontId="0" fillId="0" borderId="5" xfId="0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0" fillId="0" borderId="0" xfId="0" applyAlignment="1">
      <alignment horizontal="left" vertical="center" wrapText="1"/>
    </xf>
    <xf numFmtId="0" fontId="4" fillId="0" borderId="0" xfId="0" applyFont="1" applyAlignment="1">
      <alignment vertical="center"/>
    </xf>
    <xf numFmtId="0" fontId="4" fillId="0" borderId="8" xfId="0" applyFont="1" applyBorder="1" applyAlignment="1">
      <alignment vertical="center" wrapText="1"/>
    </xf>
    <xf numFmtId="0" fontId="4" fillId="0" borderId="17" xfId="0" applyFont="1" applyBorder="1" applyAlignment="1">
      <alignment horizontal="center" vertical="center"/>
    </xf>
    <xf numFmtId="0" fontId="4" fillId="0" borderId="9" xfId="0" applyFont="1" applyBorder="1" applyAlignment="1">
      <alignment vertical="center" wrapText="1"/>
    </xf>
    <xf numFmtId="0" fontId="4" fillId="0" borderId="18" xfId="0" applyFont="1" applyBorder="1" applyAlignment="1">
      <alignment horizontal="center" vertical="center"/>
    </xf>
    <xf numFmtId="0" fontId="4" fillId="0" borderId="10" xfId="0" applyFont="1" applyBorder="1" applyAlignment="1">
      <alignment vertical="center" wrapText="1"/>
    </xf>
    <xf numFmtId="0" fontId="4" fillId="0" borderId="19" xfId="0" applyFont="1" applyBorder="1" applyAlignment="1">
      <alignment horizontal="center" vertical="center"/>
    </xf>
    <xf numFmtId="0" fontId="4" fillId="0" borderId="0" xfId="0" applyFont="1" applyAlignment="1">
      <alignment horizontal="left" vertical="center" wrapText="1"/>
    </xf>
    <xf numFmtId="0" fontId="4" fillId="0" borderId="0" xfId="0" applyFont="1" applyAlignment="1">
      <alignment wrapText="1"/>
    </xf>
    <xf numFmtId="0" fontId="4" fillId="0" borderId="0" xfId="0" applyFont="1"/>
    <xf numFmtId="0" fontId="4" fillId="0" borderId="0" xfId="0" applyFont="1" applyAlignment="1">
      <alignment vertical="center" wrapText="1"/>
    </xf>
    <xf numFmtId="0" fontId="4" fillId="0" borderId="0" xfId="0" applyFont="1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0" fontId="4" fillId="0" borderId="8" xfId="0" applyFont="1" applyBorder="1" applyAlignment="1">
      <alignment horizontal="center" vertical="center" wrapText="1"/>
    </xf>
    <xf numFmtId="0" fontId="4" fillId="0" borderId="9" xfId="0" applyFont="1" applyBorder="1" applyAlignment="1">
      <alignment horizontal="center" vertical="center" wrapText="1"/>
    </xf>
    <xf numFmtId="0" fontId="4" fillId="0" borderId="10" xfId="0" applyFont="1" applyBorder="1" applyAlignment="1">
      <alignment horizontal="center" vertical="center" wrapText="1"/>
    </xf>
    <xf numFmtId="0" fontId="0" fillId="2" borderId="11" xfId="0" applyFill="1" applyBorder="1" applyAlignment="1">
      <alignment horizontal="center" vertical="center" wrapText="1"/>
    </xf>
    <xf numFmtId="0" fontId="0" fillId="5" borderId="12" xfId="0" applyFill="1" applyBorder="1" applyAlignment="1">
      <alignment horizontal="center" vertical="center" wrapText="1"/>
    </xf>
    <xf numFmtId="0" fontId="0" fillId="8" borderId="12" xfId="0" applyFill="1" applyBorder="1" applyAlignment="1">
      <alignment horizontal="center" vertical="center" wrapText="1"/>
    </xf>
    <xf numFmtId="0" fontId="0" fillId="3" borderId="12" xfId="0" applyFill="1" applyBorder="1" applyAlignment="1">
      <alignment horizontal="center" vertical="center" wrapText="1"/>
    </xf>
    <xf numFmtId="0" fontId="0" fillId="6" borderId="12" xfId="0" applyFill="1" applyBorder="1" applyAlignment="1">
      <alignment horizontal="center" vertical="center" wrapText="1"/>
    </xf>
    <xf numFmtId="0" fontId="0" fillId="7" borderId="12" xfId="0" applyFill="1" applyBorder="1" applyAlignment="1">
      <alignment horizontal="center" vertical="center" wrapText="1"/>
    </xf>
    <xf numFmtId="0" fontId="0" fillId="9" borderId="12" xfId="0" applyFill="1" applyBorder="1" applyAlignment="1">
      <alignment horizontal="center" vertical="center" wrapText="1"/>
    </xf>
    <xf numFmtId="0" fontId="0" fillId="10" borderId="12" xfId="0" applyFill="1" applyBorder="1" applyAlignment="1">
      <alignment horizontal="center" vertical="center" wrapText="1"/>
    </xf>
    <xf numFmtId="0" fontId="0" fillId="11" borderId="12" xfId="0" applyFill="1" applyBorder="1" applyAlignment="1">
      <alignment horizontal="center" vertical="center" wrapText="1"/>
    </xf>
    <xf numFmtId="0" fontId="0" fillId="12" borderId="12" xfId="0" applyFill="1" applyBorder="1" applyAlignment="1">
      <alignment horizontal="center" vertical="center" wrapText="1"/>
    </xf>
    <xf numFmtId="0" fontId="0" fillId="16" borderId="12" xfId="0" applyFill="1" applyBorder="1" applyAlignment="1">
      <alignment horizontal="center" vertical="center" wrapText="1"/>
    </xf>
    <xf numFmtId="0" fontId="0" fillId="13" borderId="12" xfId="0" applyFill="1" applyBorder="1" applyAlignment="1">
      <alignment horizontal="center" vertical="center" wrapText="1"/>
    </xf>
    <xf numFmtId="0" fontId="0" fillId="14" borderId="12" xfId="0" applyFill="1" applyBorder="1" applyAlignment="1">
      <alignment horizontal="center" vertical="center" wrapText="1"/>
    </xf>
    <xf numFmtId="0" fontId="0" fillId="15" borderId="13" xfId="0" applyFill="1" applyBorder="1" applyAlignment="1">
      <alignment horizontal="center" vertical="center" wrapText="1"/>
    </xf>
    <xf numFmtId="0" fontId="0" fillId="4" borderId="12" xfId="0" applyFill="1" applyBorder="1" applyAlignment="1">
      <alignment horizontal="center" vertical="center" wrapText="1"/>
    </xf>
    <xf numFmtId="0" fontId="4" fillId="0" borderId="27" xfId="0" applyFont="1" applyBorder="1" applyAlignment="1">
      <alignment vertical="center" wrapText="1"/>
    </xf>
    <xf numFmtId="0" fontId="0" fillId="0" borderId="8" xfId="0" applyBorder="1" applyAlignment="1">
      <alignment horizontal="left" vertical="center" wrapText="1"/>
    </xf>
    <xf numFmtId="0" fontId="0" fillId="0" borderId="9" xfId="0" applyBorder="1" applyAlignment="1">
      <alignment horizontal="left" vertical="center" wrapText="1"/>
    </xf>
    <xf numFmtId="0" fontId="0" fillId="0" borderId="10" xfId="0" applyBorder="1" applyAlignment="1">
      <alignment horizontal="left" vertical="center" wrapText="1"/>
    </xf>
    <xf numFmtId="2" fontId="4" fillId="0" borderId="0" xfId="0" applyNumberFormat="1" applyFont="1" applyAlignment="1">
      <alignment horizontal="center" vertical="center"/>
    </xf>
    <xf numFmtId="0" fontId="4" fillId="25" borderId="22" xfId="0" applyFont="1" applyFill="1" applyBorder="1"/>
    <xf numFmtId="0" fontId="4" fillId="25" borderId="25" xfId="0" applyFont="1" applyFill="1" applyBorder="1"/>
    <xf numFmtId="0" fontId="0" fillId="25" borderId="25" xfId="0" applyFill="1" applyBorder="1"/>
    <xf numFmtId="0" fontId="4" fillId="25" borderId="48" xfId="0" applyFont="1" applyFill="1" applyBorder="1"/>
    <xf numFmtId="0" fontId="0" fillId="25" borderId="0" xfId="0" applyFill="1"/>
    <xf numFmtId="0" fontId="0" fillId="25" borderId="50" xfId="0" applyFill="1" applyBorder="1"/>
    <xf numFmtId="0" fontId="0" fillId="25" borderId="48" xfId="0" applyFill="1" applyBorder="1"/>
    <xf numFmtId="0" fontId="4" fillId="25" borderId="50" xfId="0" applyFont="1" applyFill="1" applyBorder="1"/>
    <xf numFmtId="0" fontId="0" fillId="25" borderId="0" xfId="0" applyFill="1" applyAlignment="1">
      <alignment horizontal="center" vertical="center"/>
    </xf>
    <xf numFmtId="0" fontId="0" fillId="25" borderId="0" xfId="0" applyFill="1" applyAlignment="1">
      <alignment vertical="center" wrapText="1"/>
    </xf>
    <xf numFmtId="0" fontId="0" fillId="25" borderId="50" xfId="0" applyFill="1" applyBorder="1" applyAlignment="1">
      <alignment vertical="center" wrapText="1"/>
    </xf>
    <xf numFmtId="0" fontId="4" fillId="25" borderId="0" xfId="0" applyFont="1" applyFill="1"/>
    <xf numFmtId="0" fontId="4" fillId="25" borderId="26" xfId="0" applyFont="1" applyFill="1" applyBorder="1"/>
    <xf numFmtId="0" fontId="0" fillId="25" borderId="27" xfId="0" applyFill="1" applyBorder="1"/>
    <xf numFmtId="0" fontId="4" fillId="25" borderId="27" xfId="0" applyFont="1" applyFill="1" applyBorder="1"/>
    <xf numFmtId="0" fontId="0" fillId="25" borderId="28" xfId="0" applyFill="1" applyBorder="1"/>
    <xf numFmtId="2" fontId="0" fillId="24" borderId="46" xfId="0" applyNumberFormat="1" applyFill="1" applyBorder="1" applyAlignment="1">
      <alignment horizontal="left" vertical="center"/>
    </xf>
    <xf numFmtId="0" fontId="0" fillId="24" borderId="33" xfId="0" applyFill="1" applyBorder="1" applyAlignment="1">
      <alignment horizontal="left" vertical="center"/>
    </xf>
    <xf numFmtId="0" fontId="0" fillId="24" borderId="47" xfId="0" applyFill="1" applyBorder="1" applyAlignment="1">
      <alignment horizontal="left" vertical="center"/>
    </xf>
    <xf numFmtId="0" fontId="0" fillId="20" borderId="8" xfId="0" applyFill="1" applyBorder="1" applyAlignment="1">
      <alignment horizontal="right" vertical="center"/>
    </xf>
    <xf numFmtId="0" fontId="0" fillId="20" borderId="44" xfId="0" applyFill="1" applyBorder="1" applyAlignment="1">
      <alignment horizontal="right" vertical="center"/>
    </xf>
    <xf numFmtId="0" fontId="0" fillId="20" borderId="45" xfId="0" applyFill="1" applyBorder="1" applyAlignment="1">
      <alignment horizontal="right" vertical="center"/>
    </xf>
    <xf numFmtId="0" fontId="0" fillId="20" borderId="10" xfId="0" applyFill="1" applyBorder="1" applyAlignment="1">
      <alignment horizontal="right" vertical="center"/>
    </xf>
    <xf numFmtId="2" fontId="0" fillId="24" borderId="44" xfId="0" applyNumberFormat="1" applyFill="1" applyBorder="1" applyAlignment="1">
      <alignment horizontal="center" vertical="center"/>
    </xf>
    <xf numFmtId="2" fontId="0" fillId="24" borderId="45" xfId="0" applyNumberFormat="1" applyFill="1" applyBorder="1" applyAlignment="1">
      <alignment horizontal="center" vertical="center"/>
    </xf>
    <xf numFmtId="0" fontId="0" fillId="24" borderId="46" xfId="0" applyFill="1" applyBorder="1" applyAlignment="1">
      <alignment horizontal="center" vertical="center"/>
    </xf>
    <xf numFmtId="2" fontId="0" fillId="24" borderId="43" xfId="0" applyNumberFormat="1" applyFill="1" applyBorder="1" applyAlignment="1">
      <alignment horizontal="center" vertical="center"/>
    </xf>
    <xf numFmtId="2" fontId="0" fillId="24" borderId="4" xfId="0" applyNumberFormat="1" applyFill="1" applyBorder="1" applyAlignment="1">
      <alignment horizontal="center" vertical="center"/>
    </xf>
    <xf numFmtId="0" fontId="0" fillId="24" borderId="2" xfId="0" applyFill="1" applyBorder="1" applyAlignment="1">
      <alignment horizontal="center" vertical="center"/>
    </xf>
    <xf numFmtId="0" fontId="0" fillId="24" borderId="4" xfId="0" applyFill="1" applyBorder="1" applyAlignment="1">
      <alignment horizontal="center" vertical="center"/>
    </xf>
    <xf numFmtId="0" fontId="10" fillId="17" borderId="8" xfId="0" applyFont="1" applyFill="1" applyBorder="1" applyAlignment="1">
      <alignment horizontal="center" vertical="center"/>
    </xf>
    <xf numFmtId="0" fontId="10" fillId="17" borderId="9" xfId="0" applyFont="1" applyFill="1" applyBorder="1" applyAlignment="1">
      <alignment horizontal="center" vertical="center"/>
    </xf>
    <xf numFmtId="0" fontId="10" fillId="17" borderId="10" xfId="0" applyFont="1" applyFill="1" applyBorder="1" applyAlignment="1">
      <alignment horizontal="center" vertical="center"/>
    </xf>
    <xf numFmtId="2" fontId="4" fillId="0" borderId="2" xfId="0" applyNumberFormat="1" applyFont="1" applyBorder="1" applyAlignment="1">
      <alignment horizontal="center" vertical="center"/>
    </xf>
    <xf numFmtId="2" fontId="4" fillId="0" borderId="4" xfId="0" applyNumberFormat="1" applyFont="1" applyBorder="1" applyAlignment="1">
      <alignment horizontal="center" vertical="center"/>
    </xf>
    <xf numFmtId="2" fontId="4" fillId="0" borderId="6" xfId="0" applyNumberFormat="1" applyFont="1" applyBorder="1" applyAlignment="1">
      <alignment horizontal="center" vertical="center"/>
    </xf>
    <xf numFmtId="0" fontId="6" fillId="24" borderId="48" xfId="0" applyFont="1" applyFill="1" applyBorder="1" applyAlignment="1">
      <alignment vertical="center"/>
    </xf>
    <xf numFmtId="0" fontId="4" fillId="0" borderId="50" xfId="0" applyFont="1" applyBorder="1"/>
    <xf numFmtId="0" fontId="0" fillId="0" borderId="50" xfId="0" applyBorder="1"/>
    <xf numFmtId="0" fontId="4" fillId="0" borderId="26" xfId="0" applyFont="1" applyBorder="1" applyAlignment="1">
      <alignment vertical="center"/>
    </xf>
    <xf numFmtId="0" fontId="4" fillId="0" borderId="27" xfId="0" applyFont="1" applyBorder="1" applyAlignment="1">
      <alignment horizontal="center" vertical="center"/>
    </xf>
    <xf numFmtId="2" fontId="4" fillId="0" borderId="27" xfId="0" applyNumberFormat="1" applyFont="1" applyBorder="1" applyAlignment="1">
      <alignment horizontal="center" vertical="center"/>
    </xf>
    <xf numFmtId="0" fontId="4" fillId="0" borderId="27" xfId="0" applyFont="1" applyBorder="1"/>
    <xf numFmtId="0" fontId="4" fillId="0" borderId="28" xfId="0" applyFont="1" applyBorder="1"/>
    <xf numFmtId="2" fontId="0" fillId="24" borderId="51" xfId="0" applyNumberFormat="1" applyFill="1" applyBorder="1" applyAlignment="1">
      <alignment horizontal="center" vertical="center"/>
    </xf>
    <xf numFmtId="2" fontId="0" fillId="24" borderId="52" xfId="0" applyNumberFormat="1" applyFill="1" applyBorder="1" applyAlignment="1">
      <alignment horizontal="center" vertical="center"/>
    </xf>
    <xf numFmtId="2" fontId="0" fillId="24" borderId="53" xfId="0" applyNumberFormat="1" applyFill="1" applyBorder="1" applyAlignment="1">
      <alignment horizontal="center" vertical="center"/>
    </xf>
    <xf numFmtId="2" fontId="0" fillId="24" borderId="54" xfId="0" applyNumberFormat="1" applyFill="1" applyBorder="1" applyAlignment="1">
      <alignment horizontal="center" vertical="center"/>
    </xf>
    <xf numFmtId="2" fontId="0" fillId="24" borderId="42" xfId="0" applyNumberFormat="1" applyFill="1" applyBorder="1" applyAlignment="1">
      <alignment horizontal="center" vertical="center"/>
    </xf>
    <xf numFmtId="2" fontId="0" fillId="24" borderId="55" xfId="0" applyNumberFormat="1" applyFill="1" applyBorder="1" applyAlignment="1">
      <alignment horizontal="center" vertical="center"/>
    </xf>
    <xf numFmtId="2" fontId="0" fillId="24" borderId="56" xfId="0" applyNumberFormat="1" applyFill="1" applyBorder="1" applyAlignment="1">
      <alignment horizontal="center" vertical="center"/>
    </xf>
    <xf numFmtId="2" fontId="0" fillId="24" borderId="57" xfId="0" applyNumberFormat="1" applyFill="1" applyBorder="1" applyAlignment="1">
      <alignment horizontal="center" vertical="center"/>
    </xf>
    <xf numFmtId="2" fontId="0" fillId="24" borderId="58" xfId="0" applyNumberFormat="1" applyFill="1" applyBorder="1" applyAlignment="1">
      <alignment horizontal="center" vertical="center"/>
    </xf>
    <xf numFmtId="0" fontId="0" fillId="24" borderId="24" xfId="0" quotePrefix="1" applyFill="1" applyBorder="1" applyAlignment="1">
      <alignment horizontal="center" vertical="center"/>
    </xf>
    <xf numFmtId="2" fontId="0" fillId="22" borderId="21" xfId="0" applyNumberFormat="1" applyFill="1" applyBorder="1" applyAlignment="1">
      <alignment horizontal="center" vertical="center"/>
    </xf>
    <xf numFmtId="0" fontId="0" fillId="26" borderId="0" xfId="0" applyFill="1" applyAlignment="1">
      <alignment horizontal="left" vertical="center"/>
    </xf>
    <xf numFmtId="2" fontId="0" fillId="24" borderId="35" xfId="0" applyNumberFormat="1" applyFill="1" applyBorder="1" applyAlignment="1">
      <alignment horizontal="left" vertical="center"/>
    </xf>
    <xf numFmtId="0" fontId="0" fillId="24" borderId="58" xfId="0" applyFill="1" applyBorder="1" applyAlignment="1">
      <alignment horizontal="center" vertical="center"/>
    </xf>
    <xf numFmtId="9" fontId="0" fillId="19" borderId="21" xfId="0" applyNumberFormat="1" applyFill="1" applyBorder="1" applyAlignment="1">
      <alignment horizontal="center" vertical="center"/>
    </xf>
    <xf numFmtId="2" fontId="0" fillId="26" borderId="59" xfId="0" applyNumberFormat="1" applyFill="1" applyBorder="1" applyAlignment="1">
      <alignment horizontal="center" vertical="center"/>
    </xf>
    <xf numFmtId="9" fontId="0" fillId="26" borderId="48" xfId="0" applyNumberFormat="1" applyFill="1" applyBorder="1" applyAlignment="1">
      <alignment horizontal="center" vertical="center"/>
    </xf>
    <xf numFmtId="9" fontId="0" fillId="24" borderId="44" xfId="1" applyFont="1" applyFill="1" applyBorder="1" applyAlignment="1">
      <alignment horizontal="center" vertical="center"/>
    </xf>
    <xf numFmtId="9" fontId="0" fillId="24" borderId="42" xfId="1" applyFont="1" applyFill="1" applyBorder="1" applyAlignment="1">
      <alignment horizontal="center" vertical="center"/>
    </xf>
    <xf numFmtId="9" fontId="0" fillId="24" borderId="45" xfId="1" applyFont="1" applyFill="1" applyBorder="1" applyAlignment="1">
      <alignment horizontal="center" vertical="center"/>
    </xf>
    <xf numFmtId="9" fontId="0" fillId="24" borderId="17" xfId="1" applyFont="1" applyFill="1" applyBorder="1" applyAlignment="1">
      <alignment horizontal="center" vertical="center"/>
    </xf>
    <xf numFmtId="9" fontId="0" fillId="24" borderId="18" xfId="1" applyFont="1" applyFill="1" applyBorder="1" applyAlignment="1">
      <alignment horizontal="center" vertical="center"/>
    </xf>
    <xf numFmtId="9" fontId="0" fillId="24" borderId="19" xfId="1" applyFont="1" applyFill="1" applyBorder="1" applyAlignment="1">
      <alignment horizontal="center" vertical="center"/>
    </xf>
    <xf numFmtId="0" fontId="0" fillId="24" borderId="20" xfId="0" applyFill="1" applyBorder="1" applyAlignment="1">
      <alignment horizontal="right"/>
    </xf>
    <xf numFmtId="9" fontId="5" fillId="24" borderId="41" xfId="1" applyFont="1" applyFill="1" applyBorder="1" applyAlignment="1">
      <alignment horizontal="center" vertical="center"/>
    </xf>
    <xf numFmtId="0" fontId="4" fillId="0" borderId="18" xfId="0" applyFont="1" applyBorder="1" applyAlignment="1">
      <alignment wrapText="1"/>
    </xf>
    <xf numFmtId="0" fontId="4" fillId="0" borderId="19" xfId="0" applyFont="1" applyBorder="1" applyAlignment="1">
      <alignment wrapText="1"/>
    </xf>
    <xf numFmtId="0" fontId="10" fillId="17" borderId="8" xfId="0" applyFont="1" applyFill="1" applyBorder="1" applyAlignment="1">
      <alignment horizontal="center" vertical="center" wrapText="1"/>
    </xf>
    <xf numFmtId="0" fontId="10" fillId="17" borderId="9" xfId="0" applyFont="1" applyFill="1" applyBorder="1" applyAlignment="1">
      <alignment horizontal="center" vertical="center" wrapText="1"/>
    </xf>
    <xf numFmtId="0" fontId="10" fillId="17" borderId="10" xfId="0" applyFont="1" applyFill="1" applyBorder="1" applyAlignment="1">
      <alignment horizontal="center" vertical="center" wrapText="1"/>
    </xf>
    <xf numFmtId="0" fontId="6" fillId="0" borderId="0" xfId="0" applyFont="1" applyAlignment="1">
      <alignment horizontal="center" vertical="center"/>
    </xf>
    <xf numFmtId="0" fontId="6" fillId="0" borderId="48" xfId="0" applyFont="1" applyBorder="1" applyAlignment="1">
      <alignment horizontal="center" vertical="center"/>
    </xf>
    <xf numFmtId="0" fontId="0" fillId="0" borderId="50" xfId="0" applyBorder="1" applyAlignment="1">
      <alignment horizontal="left" vertical="center" wrapText="1"/>
    </xf>
    <xf numFmtId="0" fontId="0" fillId="0" borderId="26" xfId="0" applyBorder="1" applyAlignment="1">
      <alignment horizontal="center" vertical="center" wrapText="1"/>
    </xf>
    <xf numFmtId="0" fontId="0" fillId="0" borderId="27" xfId="0" applyBorder="1" applyAlignment="1">
      <alignment horizontal="left" vertical="center" wrapText="1"/>
    </xf>
    <xf numFmtId="0" fontId="0" fillId="0" borderId="27" xfId="0" applyBorder="1" applyAlignment="1">
      <alignment horizontal="center" vertical="center" wrapText="1"/>
    </xf>
    <xf numFmtId="0" fontId="0" fillId="0" borderId="28" xfId="0" applyBorder="1" applyAlignment="1">
      <alignment horizontal="left" vertical="center" wrapText="1"/>
    </xf>
    <xf numFmtId="0" fontId="10" fillId="17" borderId="17" xfId="0" applyFont="1" applyFill="1" applyBorder="1" applyAlignment="1">
      <alignment horizontal="center" vertical="center" wrapText="1"/>
    </xf>
    <xf numFmtId="0" fontId="10" fillId="17" borderId="18" xfId="0" applyFont="1" applyFill="1" applyBorder="1" applyAlignment="1">
      <alignment horizontal="center" vertical="center" wrapText="1"/>
    </xf>
    <xf numFmtId="0" fontId="10" fillId="17" borderId="19" xfId="0" applyFont="1" applyFill="1" applyBorder="1" applyAlignment="1">
      <alignment horizontal="center" vertical="center" wrapText="1"/>
    </xf>
    <xf numFmtId="0" fontId="4" fillId="0" borderId="17" xfId="0" applyFont="1" applyBorder="1" applyAlignment="1">
      <alignment horizontal="left" vertical="center" wrapText="1"/>
    </xf>
    <xf numFmtId="0" fontId="4" fillId="0" borderId="18" xfId="0" applyFont="1" applyBorder="1" applyAlignment="1">
      <alignment horizontal="left" vertical="center" wrapText="1"/>
    </xf>
    <xf numFmtId="0" fontId="4" fillId="0" borderId="19" xfId="0" applyFont="1" applyBorder="1" applyAlignment="1">
      <alignment horizontal="left" vertical="center" wrapText="1"/>
    </xf>
    <xf numFmtId="0" fontId="10" fillId="24" borderId="48" xfId="0" applyFont="1" applyFill="1" applyBorder="1" applyAlignment="1">
      <alignment horizontal="center" vertical="center" wrapText="1"/>
    </xf>
    <xf numFmtId="0" fontId="4" fillId="0" borderId="50" xfId="0" applyFont="1" applyBorder="1" applyAlignment="1">
      <alignment horizontal="left" vertical="center" wrapText="1"/>
    </xf>
    <xf numFmtId="0" fontId="4" fillId="0" borderId="26" xfId="0" applyFont="1" applyBorder="1" applyAlignment="1">
      <alignment horizontal="center" vertical="center" wrapText="1"/>
    </xf>
    <xf numFmtId="0" fontId="4" fillId="0" borderId="27" xfId="0" applyFont="1" applyBorder="1" applyAlignment="1">
      <alignment horizontal="left" vertical="center" wrapText="1"/>
    </xf>
    <xf numFmtId="0" fontId="4" fillId="0" borderId="27" xfId="0" applyFont="1" applyBorder="1" applyAlignment="1">
      <alignment horizontal="center" vertical="center" wrapText="1"/>
    </xf>
    <xf numFmtId="0" fontId="4" fillId="0" borderId="28" xfId="0" applyFont="1" applyBorder="1" applyAlignment="1">
      <alignment horizontal="left" vertical="center" wrapText="1"/>
    </xf>
    <xf numFmtId="0" fontId="4" fillId="0" borderId="26" xfId="0" applyFont="1" applyBorder="1" applyAlignment="1">
      <alignment horizontal="left" vertical="center" wrapText="1"/>
    </xf>
    <xf numFmtId="0" fontId="0" fillId="0" borderId="48" xfId="0" applyBorder="1"/>
    <xf numFmtId="0" fontId="4" fillId="0" borderId="50" xfId="0" applyFont="1" applyBorder="1" applyAlignment="1">
      <alignment wrapText="1"/>
    </xf>
    <xf numFmtId="0" fontId="4" fillId="0" borderId="26" xfId="0" applyFont="1" applyBorder="1" applyAlignment="1">
      <alignment wrapText="1"/>
    </xf>
    <xf numFmtId="0" fontId="4" fillId="0" borderId="27" xfId="0" applyFont="1" applyBorder="1" applyAlignment="1">
      <alignment wrapText="1"/>
    </xf>
    <xf numFmtId="0" fontId="4" fillId="0" borderId="28" xfId="0" applyFont="1" applyBorder="1" applyAlignment="1">
      <alignment wrapText="1"/>
    </xf>
    <xf numFmtId="0" fontId="4" fillId="0" borderId="26" xfId="0" applyFont="1" applyBorder="1"/>
    <xf numFmtId="0" fontId="0" fillId="0" borderId="26" xfId="0" applyBorder="1"/>
    <xf numFmtId="0" fontId="0" fillId="0" borderId="27" xfId="0" applyBorder="1"/>
    <xf numFmtId="0" fontId="0" fillId="0" borderId="28" xfId="0" applyBorder="1"/>
    <xf numFmtId="0" fontId="4" fillId="0" borderId="50" xfId="0" applyFont="1" applyBorder="1" applyAlignment="1">
      <alignment vertical="center" wrapText="1"/>
    </xf>
    <xf numFmtId="0" fontId="4" fillId="0" borderId="26" xfId="0" applyFont="1" applyBorder="1" applyAlignment="1">
      <alignment vertical="center" wrapText="1"/>
    </xf>
    <xf numFmtId="0" fontId="4" fillId="0" borderId="28" xfId="0" applyFont="1" applyBorder="1" applyAlignment="1">
      <alignment vertical="center" wrapText="1"/>
    </xf>
    <xf numFmtId="0" fontId="4" fillId="0" borderId="17" xfId="0" applyFont="1" applyBorder="1" applyAlignment="1">
      <alignment vertical="center" wrapText="1"/>
    </xf>
    <xf numFmtId="0" fontId="4" fillId="0" borderId="18" xfId="0" applyFont="1" applyBorder="1" applyAlignment="1">
      <alignment vertical="center" wrapText="1"/>
    </xf>
    <xf numFmtId="0" fontId="4" fillId="0" borderId="19" xfId="0" applyFont="1" applyBorder="1" applyAlignment="1">
      <alignment vertical="center" wrapText="1"/>
    </xf>
    <xf numFmtId="0" fontId="4" fillId="0" borderId="33" xfId="0" applyFont="1" applyBorder="1" applyAlignment="1">
      <alignment horizontal="left" vertical="center" wrapText="1"/>
    </xf>
    <xf numFmtId="0" fontId="4" fillId="0" borderId="34" xfId="0" applyFont="1" applyBorder="1" applyAlignment="1">
      <alignment horizontal="left" vertical="center" wrapText="1"/>
    </xf>
    <xf numFmtId="0" fontId="4" fillId="0" borderId="35" xfId="0" applyFont="1" applyBorder="1" applyAlignment="1">
      <alignment horizontal="left" vertical="center" wrapText="1"/>
    </xf>
    <xf numFmtId="0" fontId="0" fillId="0" borderId="48" xfId="0" applyBorder="1" applyAlignment="1">
      <alignment vertical="center"/>
    </xf>
    <xf numFmtId="0" fontId="8" fillId="17" borderId="8" xfId="0" applyFont="1" applyFill="1" applyBorder="1" applyAlignment="1">
      <alignment horizontal="center" vertical="center"/>
    </xf>
    <xf numFmtId="0" fontId="8" fillId="17" borderId="9" xfId="0" applyFont="1" applyFill="1" applyBorder="1" applyAlignment="1">
      <alignment horizontal="center" vertical="center"/>
    </xf>
    <xf numFmtId="0" fontId="8" fillId="17" borderId="10" xfId="0" applyFont="1" applyFill="1" applyBorder="1" applyAlignment="1">
      <alignment horizontal="center" vertical="center"/>
    </xf>
    <xf numFmtId="0" fontId="4" fillId="0" borderId="60" xfId="0" applyFont="1" applyBorder="1" applyAlignment="1">
      <alignment horizontal="center" vertical="center" wrapText="1"/>
    </xf>
    <xf numFmtId="0" fontId="4" fillId="0" borderId="61" xfId="0" applyFont="1" applyBorder="1" applyAlignment="1">
      <alignment horizontal="center" vertical="center" wrapText="1"/>
    </xf>
    <xf numFmtId="0" fontId="4" fillId="0" borderId="62" xfId="0" applyFont="1" applyBorder="1" applyAlignment="1">
      <alignment horizontal="center" vertical="center" wrapText="1"/>
    </xf>
    <xf numFmtId="0" fontId="4" fillId="0" borderId="60" xfId="0" applyFont="1" applyBorder="1" applyAlignment="1">
      <alignment horizontal="center" vertical="center"/>
    </xf>
    <xf numFmtId="0" fontId="4" fillId="0" borderId="61" xfId="0" applyFont="1" applyBorder="1" applyAlignment="1">
      <alignment horizontal="center" vertical="center"/>
    </xf>
    <xf numFmtId="0" fontId="4" fillId="0" borderId="62" xfId="0" applyFont="1" applyBorder="1" applyAlignment="1">
      <alignment horizontal="center" vertical="center"/>
    </xf>
    <xf numFmtId="0" fontId="0" fillId="0" borderId="60" xfId="0" applyBorder="1" applyAlignment="1">
      <alignment horizontal="center" vertical="center"/>
    </xf>
    <xf numFmtId="0" fontId="0" fillId="0" borderId="61" xfId="0" applyBorder="1" applyAlignment="1">
      <alignment horizontal="center" vertical="center"/>
    </xf>
    <xf numFmtId="0" fontId="0" fillId="0" borderId="62" xfId="0" applyBorder="1" applyAlignment="1">
      <alignment horizontal="center" vertical="center"/>
    </xf>
    <xf numFmtId="0" fontId="4" fillId="0" borderId="2" xfId="0" applyFont="1" applyBorder="1" applyAlignment="1">
      <alignment horizontal="center" vertical="center" wrapText="1"/>
    </xf>
    <xf numFmtId="0" fontId="4" fillId="0" borderId="4" xfId="0" applyFont="1" applyBorder="1" applyAlignment="1">
      <alignment horizontal="center" vertical="center" wrapText="1"/>
    </xf>
    <xf numFmtId="0" fontId="4" fillId="0" borderId="6" xfId="0" applyFont="1" applyBorder="1" applyAlignment="1">
      <alignment horizontal="center" vertical="center" wrapText="1"/>
    </xf>
    <xf numFmtId="2" fontId="4" fillId="0" borderId="2" xfId="0" applyNumberFormat="1" applyFont="1" applyBorder="1" applyAlignment="1">
      <alignment horizontal="center" vertical="center" wrapText="1"/>
    </xf>
    <xf numFmtId="2" fontId="4" fillId="0" borderId="4" xfId="0" applyNumberFormat="1" applyFont="1" applyBorder="1" applyAlignment="1">
      <alignment horizontal="center" vertical="center" wrapText="1"/>
    </xf>
    <xf numFmtId="2" fontId="4" fillId="0" borderId="6" xfId="0" applyNumberFormat="1" applyFont="1" applyBorder="1" applyAlignment="1">
      <alignment horizontal="center" vertical="center" wrapText="1"/>
    </xf>
    <xf numFmtId="0" fontId="4" fillId="0" borderId="2" xfId="0" applyFont="1" applyBorder="1" applyAlignment="1">
      <alignment horizontal="center" vertical="center"/>
    </xf>
    <xf numFmtId="0" fontId="4" fillId="0" borderId="3" xfId="0" applyFont="1" applyBorder="1" applyAlignment="1">
      <alignment horizontal="center" vertical="center"/>
    </xf>
    <xf numFmtId="0" fontId="4" fillId="0" borderId="4" xfId="0" applyFont="1" applyBorder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2" fontId="0" fillId="0" borderId="2" xfId="0" applyNumberFormat="1" applyBorder="1" applyAlignment="1">
      <alignment horizontal="center" vertical="center"/>
    </xf>
    <xf numFmtId="2" fontId="0" fillId="0" borderId="4" xfId="0" applyNumberFormat="1" applyBorder="1" applyAlignment="1">
      <alignment horizontal="center" vertical="center"/>
    </xf>
    <xf numFmtId="2" fontId="0" fillId="0" borderId="6" xfId="0" applyNumberFormat="1" applyBorder="1" applyAlignment="1">
      <alignment horizontal="center" vertical="center"/>
    </xf>
    <xf numFmtId="0" fontId="0" fillId="0" borderId="39" xfId="0" applyBorder="1" applyAlignment="1">
      <alignment horizontal="center" vertical="center" wrapText="1"/>
    </xf>
    <xf numFmtId="0" fontId="0" fillId="0" borderId="40" xfId="0" applyBorder="1" applyAlignment="1">
      <alignment horizontal="center" vertical="center" wrapText="1"/>
    </xf>
    <xf numFmtId="0" fontId="0" fillId="0" borderId="41" xfId="0" applyBorder="1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0" fontId="0" fillId="0" borderId="7" xfId="0" applyBorder="1" applyAlignment="1">
      <alignment horizontal="center" vertical="center" wrapText="1"/>
    </xf>
    <xf numFmtId="0" fontId="8" fillId="17" borderId="8" xfId="0" applyFont="1" applyFill="1" applyBorder="1" applyAlignment="1">
      <alignment horizontal="center" vertical="center" wrapText="1"/>
    </xf>
    <xf numFmtId="0" fontId="8" fillId="17" borderId="9" xfId="0" applyFont="1" applyFill="1" applyBorder="1" applyAlignment="1">
      <alignment horizontal="center" vertical="center" wrapText="1"/>
    </xf>
    <xf numFmtId="0" fontId="8" fillId="17" borderId="10" xfId="0" applyFont="1" applyFill="1" applyBorder="1" applyAlignment="1">
      <alignment horizontal="center" vertical="center" wrapText="1"/>
    </xf>
    <xf numFmtId="0" fontId="4" fillId="0" borderId="33" xfId="0" applyFont="1" applyBorder="1" applyAlignment="1">
      <alignment horizontal="center" vertical="center" wrapText="1"/>
    </xf>
    <xf numFmtId="0" fontId="4" fillId="0" borderId="34" xfId="0" applyFont="1" applyBorder="1" applyAlignment="1">
      <alignment horizontal="center" vertical="center" wrapText="1"/>
    </xf>
    <xf numFmtId="0" fontId="4" fillId="0" borderId="35" xfId="0" applyFont="1" applyBorder="1" applyAlignment="1">
      <alignment horizontal="center" vertical="center" wrapText="1"/>
    </xf>
    <xf numFmtId="0" fontId="6" fillId="24" borderId="0" xfId="0" applyFont="1" applyFill="1" applyAlignment="1">
      <alignment vertical="center"/>
    </xf>
    <xf numFmtId="0" fontId="7" fillId="24" borderId="98" xfId="0" applyFont="1" applyFill="1" applyBorder="1" applyAlignment="1">
      <alignment horizontal="center" vertical="center"/>
    </xf>
    <xf numFmtId="2" fontId="4" fillId="21" borderId="21" xfId="0" applyNumberFormat="1" applyFont="1" applyFill="1" applyBorder="1" applyAlignment="1">
      <alignment horizontal="center" vertical="center"/>
    </xf>
    <xf numFmtId="0" fontId="0" fillId="21" borderId="48" xfId="0" applyFill="1" applyBorder="1" applyAlignment="1">
      <alignment horizontal="center" vertical="center" wrapText="1"/>
    </xf>
    <xf numFmtId="0" fontId="0" fillId="21" borderId="0" xfId="0" applyFill="1" applyAlignment="1">
      <alignment horizontal="center" vertical="center" wrapText="1"/>
    </xf>
    <xf numFmtId="0" fontId="0" fillId="21" borderId="50" xfId="0" applyFill="1" applyBorder="1" applyAlignment="1">
      <alignment horizontal="center" vertical="center" wrapText="1"/>
    </xf>
    <xf numFmtId="0" fontId="0" fillId="21" borderId="26" xfId="0" applyFill="1" applyBorder="1" applyAlignment="1">
      <alignment horizontal="center" vertical="center" wrapText="1"/>
    </xf>
    <xf numFmtId="0" fontId="0" fillId="21" borderId="27" xfId="0" applyFill="1" applyBorder="1" applyAlignment="1">
      <alignment horizontal="center" vertical="center" wrapText="1"/>
    </xf>
    <xf numFmtId="0" fontId="0" fillId="21" borderId="28" xfId="0" applyFill="1" applyBorder="1" applyAlignment="1">
      <alignment horizontal="center" vertical="center" wrapText="1"/>
    </xf>
    <xf numFmtId="0" fontId="4" fillId="21" borderId="1" xfId="0" applyFont="1" applyFill="1" applyBorder="1" applyAlignment="1">
      <alignment horizontal="center" vertical="center"/>
    </xf>
    <xf numFmtId="0" fontId="0" fillId="21" borderId="32" xfId="0" applyFill="1" applyBorder="1" applyAlignment="1">
      <alignment horizontal="center" vertical="center" wrapText="1"/>
    </xf>
    <xf numFmtId="0" fontId="0" fillId="21" borderId="11" xfId="0" applyFill="1" applyBorder="1" applyAlignment="1">
      <alignment horizontal="center" vertical="center" wrapText="1"/>
    </xf>
    <xf numFmtId="0" fontId="0" fillId="21" borderId="12" xfId="0" applyFill="1" applyBorder="1" applyAlignment="1">
      <alignment horizontal="center" vertical="center" wrapText="1"/>
    </xf>
    <xf numFmtId="0" fontId="0" fillId="21" borderId="13" xfId="0" applyFill="1" applyBorder="1" applyAlignment="1">
      <alignment horizontal="center" vertical="center" wrapText="1"/>
    </xf>
    <xf numFmtId="0" fontId="0" fillId="21" borderId="18" xfId="0" applyFill="1" applyBorder="1" applyAlignment="1">
      <alignment horizontal="center" vertical="center" wrapText="1"/>
    </xf>
    <xf numFmtId="0" fontId="4" fillId="21" borderId="20" xfId="0" applyFont="1" applyFill="1" applyBorder="1" applyAlignment="1">
      <alignment horizontal="center" vertical="center" wrapText="1"/>
    </xf>
    <xf numFmtId="0" fontId="0" fillId="21" borderId="19" xfId="0" applyFill="1" applyBorder="1" applyAlignment="1">
      <alignment horizontal="center" vertical="center" wrapText="1"/>
    </xf>
    <xf numFmtId="0" fontId="4" fillId="21" borderId="48" xfId="0" applyFont="1" applyFill="1" applyBorder="1" applyAlignment="1">
      <alignment horizontal="center" vertical="center"/>
    </xf>
    <xf numFmtId="0" fontId="4" fillId="21" borderId="0" xfId="0" applyFont="1" applyFill="1" applyAlignment="1">
      <alignment horizontal="center" vertical="center"/>
    </xf>
    <xf numFmtId="0" fontId="4" fillId="21" borderId="50" xfId="0" applyFont="1" applyFill="1" applyBorder="1" applyAlignment="1">
      <alignment horizontal="center" vertical="center"/>
    </xf>
    <xf numFmtId="0" fontId="0" fillId="21" borderId="0" xfId="0" applyFill="1" applyAlignment="1">
      <alignment horizontal="center" vertical="center"/>
    </xf>
    <xf numFmtId="0" fontId="0" fillId="21" borderId="39" xfId="1" applyNumberFormat="1" applyFont="1" applyFill="1" applyBorder="1" applyAlignment="1">
      <alignment horizontal="center" vertical="center"/>
    </xf>
    <xf numFmtId="0" fontId="0" fillId="21" borderId="40" xfId="1" applyNumberFormat="1" applyFont="1" applyFill="1" applyBorder="1" applyAlignment="1">
      <alignment horizontal="center" vertical="center"/>
    </xf>
    <xf numFmtId="0" fontId="0" fillId="21" borderId="41" xfId="1" applyNumberFormat="1" applyFont="1" applyFill="1" applyBorder="1" applyAlignment="1">
      <alignment horizontal="center" vertical="center"/>
    </xf>
    <xf numFmtId="0" fontId="0" fillId="32" borderId="22" xfId="0" applyFill="1" applyBorder="1" applyAlignment="1">
      <alignment horizontal="center" vertical="center" wrapText="1"/>
    </xf>
    <xf numFmtId="0" fontId="0" fillId="32" borderId="25" xfId="0" applyFill="1" applyBorder="1" applyAlignment="1">
      <alignment horizontal="center" vertical="center" wrapText="1"/>
    </xf>
    <xf numFmtId="0" fontId="0" fillId="32" borderId="48" xfId="0" applyFill="1" applyBorder="1" applyAlignment="1">
      <alignment horizontal="center" vertical="center" wrapText="1"/>
    </xf>
    <xf numFmtId="0" fontId="0" fillId="32" borderId="0" xfId="0" applyFill="1" applyAlignment="1">
      <alignment horizontal="center" vertical="center" wrapText="1"/>
    </xf>
    <xf numFmtId="0" fontId="0" fillId="32" borderId="50" xfId="0" applyFill="1" applyBorder="1" applyAlignment="1">
      <alignment horizontal="center" vertical="center" wrapText="1"/>
    </xf>
    <xf numFmtId="2" fontId="0" fillId="32" borderId="39" xfId="0" applyNumberFormat="1" applyFill="1" applyBorder="1" applyAlignment="1">
      <alignment horizontal="center" vertical="center" wrapText="1"/>
    </xf>
    <xf numFmtId="2" fontId="0" fillId="32" borderId="40" xfId="0" applyNumberFormat="1" applyFill="1" applyBorder="1" applyAlignment="1">
      <alignment horizontal="center" vertical="center" wrapText="1"/>
    </xf>
    <xf numFmtId="2" fontId="0" fillId="32" borderId="41" xfId="0" applyNumberFormat="1" applyFill="1" applyBorder="1" applyAlignment="1">
      <alignment horizontal="center" vertical="center" wrapText="1"/>
    </xf>
    <xf numFmtId="2" fontId="0" fillId="32" borderId="36" xfId="0" applyNumberFormat="1" applyFill="1" applyBorder="1" applyAlignment="1">
      <alignment horizontal="center" vertical="center" wrapText="1"/>
    </xf>
    <xf numFmtId="2" fontId="0" fillId="32" borderId="37" xfId="0" applyNumberFormat="1" applyFill="1" applyBorder="1" applyAlignment="1">
      <alignment horizontal="center" vertical="center" wrapText="1"/>
    </xf>
    <xf numFmtId="2" fontId="0" fillId="32" borderId="38" xfId="0" applyNumberFormat="1" applyFill="1" applyBorder="1" applyAlignment="1">
      <alignment horizontal="center" vertical="center" wrapText="1"/>
    </xf>
    <xf numFmtId="0" fontId="0" fillId="32" borderId="26" xfId="0" applyFill="1" applyBorder="1" applyAlignment="1">
      <alignment horizontal="center" vertical="center" wrapText="1"/>
    </xf>
    <xf numFmtId="0" fontId="0" fillId="32" borderId="27" xfId="0" applyFill="1" applyBorder="1" applyAlignment="1">
      <alignment horizontal="center" vertical="center" wrapText="1"/>
    </xf>
    <xf numFmtId="0" fontId="0" fillId="32" borderId="28" xfId="0" applyFill="1" applyBorder="1" applyAlignment="1">
      <alignment horizontal="center" vertical="center" wrapText="1"/>
    </xf>
    <xf numFmtId="0" fontId="0" fillId="21" borderId="22" xfId="0" applyFill="1" applyBorder="1" applyAlignment="1">
      <alignment horizontal="center" vertical="center" wrapText="1"/>
    </xf>
    <xf numFmtId="0" fontId="0" fillId="21" borderId="25" xfId="0" applyFill="1" applyBorder="1" applyAlignment="1">
      <alignment horizontal="center" vertical="center" wrapText="1"/>
    </xf>
    <xf numFmtId="0" fontId="4" fillId="0" borderId="0" xfId="0" applyFont="1" applyAlignment="1">
      <alignment horizontal="center"/>
    </xf>
    <xf numFmtId="0" fontId="0" fillId="34" borderId="22" xfId="0" applyFill="1" applyBorder="1" applyAlignment="1">
      <alignment horizontal="center" vertical="center" wrapText="1"/>
    </xf>
    <xf numFmtId="0" fontId="0" fillId="34" borderId="25" xfId="0" applyFill="1" applyBorder="1" applyAlignment="1">
      <alignment horizontal="center" vertical="center" wrapText="1"/>
    </xf>
    <xf numFmtId="0" fontId="0" fillId="34" borderId="48" xfId="0" applyFill="1" applyBorder="1" applyAlignment="1">
      <alignment horizontal="center" vertical="center" wrapText="1"/>
    </xf>
    <xf numFmtId="0" fontId="0" fillId="34" borderId="0" xfId="0" applyFill="1" applyAlignment="1">
      <alignment horizontal="center" vertical="center" wrapText="1"/>
    </xf>
    <xf numFmtId="0" fontId="0" fillId="34" borderId="50" xfId="0" applyFill="1" applyBorder="1" applyAlignment="1">
      <alignment horizontal="center" vertical="center" wrapText="1"/>
    </xf>
    <xf numFmtId="0" fontId="0" fillId="34" borderId="2" xfId="0" applyFill="1" applyBorder="1" applyAlignment="1">
      <alignment horizontal="center" vertical="center"/>
    </xf>
    <xf numFmtId="2" fontId="0" fillId="34" borderId="3" xfId="0" applyNumberFormat="1" applyFill="1" applyBorder="1" applyAlignment="1">
      <alignment horizontal="center" vertical="center"/>
    </xf>
    <xf numFmtId="0" fontId="0" fillId="34" borderId="0" xfId="0" applyFill="1"/>
    <xf numFmtId="2" fontId="0" fillId="34" borderId="4" xfId="0" applyNumberFormat="1" applyFill="1" applyBorder="1" applyAlignment="1">
      <alignment horizontal="center" vertical="center"/>
    </xf>
    <xf numFmtId="2" fontId="0" fillId="34" borderId="5" xfId="0" applyNumberFormat="1" applyFill="1" applyBorder="1" applyAlignment="1">
      <alignment horizontal="center" vertical="center"/>
    </xf>
    <xf numFmtId="2" fontId="0" fillId="34" borderId="6" xfId="0" applyNumberFormat="1" applyFill="1" applyBorder="1" applyAlignment="1">
      <alignment horizontal="center" vertical="center"/>
    </xf>
    <xf numFmtId="2" fontId="0" fillId="34" borderId="7" xfId="0" applyNumberFormat="1" applyFill="1" applyBorder="1" applyAlignment="1">
      <alignment horizontal="center" vertical="center"/>
    </xf>
    <xf numFmtId="0" fontId="0" fillId="34" borderId="26" xfId="0" applyFill="1" applyBorder="1" applyAlignment="1">
      <alignment horizontal="center" vertical="center" wrapText="1"/>
    </xf>
    <xf numFmtId="0" fontId="0" fillId="34" borderId="27" xfId="0" applyFill="1" applyBorder="1" applyAlignment="1">
      <alignment horizontal="center" vertical="center" wrapText="1"/>
    </xf>
    <xf numFmtId="0" fontId="0" fillId="34" borderId="28" xfId="0" applyFill="1" applyBorder="1" applyAlignment="1">
      <alignment horizontal="center" vertical="center" wrapText="1"/>
    </xf>
    <xf numFmtId="0" fontId="0" fillId="0" borderId="0" xfId="0" quotePrefix="1"/>
    <xf numFmtId="9" fontId="5" fillId="34" borderId="41" xfId="1" applyFont="1" applyFill="1" applyBorder="1" applyAlignment="1">
      <alignment horizontal="center" vertical="center"/>
    </xf>
    <xf numFmtId="0" fontId="13" fillId="0" borderId="0" xfId="0" applyFont="1" applyAlignment="1">
      <alignment wrapText="1"/>
    </xf>
    <xf numFmtId="0" fontId="0" fillId="42" borderId="22" xfId="0" applyFill="1" applyBorder="1" applyAlignment="1">
      <alignment horizontal="center" vertical="center" wrapText="1"/>
    </xf>
    <xf numFmtId="0" fontId="0" fillId="42" borderId="25" xfId="0" applyFill="1" applyBorder="1" applyAlignment="1">
      <alignment horizontal="center" vertical="center" wrapText="1"/>
    </xf>
    <xf numFmtId="0" fontId="0" fillId="42" borderId="48" xfId="0" applyFill="1" applyBorder="1" applyAlignment="1">
      <alignment horizontal="center" vertical="center" wrapText="1"/>
    </xf>
    <xf numFmtId="0" fontId="0" fillId="42" borderId="0" xfId="0" applyFill="1" applyAlignment="1">
      <alignment horizontal="center" vertical="center" wrapText="1"/>
    </xf>
    <xf numFmtId="0" fontId="0" fillId="42" borderId="50" xfId="0" applyFill="1" applyBorder="1" applyAlignment="1">
      <alignment horizontal="center" vertical="center" wrapText="1"/>
    </xf>
    <xf numFmtId="0" fontId="0" fillId="42" borderId="26" xfId="0" applyFill="1" applyBorder="1" applyAlignment="1">
      <alignment horizontal="center" vertical="center" wrapText="1"/>
    </xf>
    <xf numFmtId="0" fontId="0" fillId="42" borderId="27" xfId="0" applyFill="1" applyBorder="1" applyAlignment="1">
      <alignment horizontal="center" vertical="center" wrapText="1"/>
    </xf>
    <xf numFmtId="0" fontId="0" fillId="42" borderId="28" xfId="0" applyFill="1" applyBorder="1" applyAlignment="1">
      <alignment horizontal="center" vertical="center" wrapText="1"/>
    </xf>
    <xf numFmtId="0" fontId="0" fillId="42" borderId="1" xfId="0" applyFill="1" applyBorder="1" applyAlignment="1">
      <alignment horizontal="center" vertical="center" wrapText="1"/>
    </xf>
    <xf numFmtId="2" fontId="0" fillId="42" borderId="1" xfId="0" applyNumberFormat="1" applyFill="1" applyBorder="1" applyAlignment="1">
      <alignment horizontal="center" vertical="center" wrapText="1"/>
    </xf>
    <xf numFmtId="0" fontId="0" fillId="21" borderId="39" xfId="0" applyFill="1" applyBorder="1" applyAlignment="1">
      <alignment horizontal="center" vertical="center"/>
    </xf>
    <xf numFmtId="0" fontId="0" fillId="21" borderId="40" xfId="0" applyFill="1" applyBorder="1" applyAlignment="1">
      <alignment horizontal="center" vertical="center"/>
    </xf>
    <xf numFmtId="0" fontId="0" fillId="21" borderId="41" xfId="0" applyFill="1" applyBorder="1" applyAlignment="1">
      <alignment horizontal="center" vertical="center"/>
    </xf>
    <xf numFmtId="0" fontId="15" fillId="7" borderId="32" xfId="0" applyFont="1" applyFill="1" applyBorder="1" applyAlignment="1">
      <alignment horizontal="center" vertical="center" wrapText="1"/>
    </xf>
    <xf numFmtId="0" fontId="14" fillId="27" borderId="32" xfId="0" applyFont="1" applyFill="1" applyBorder="1" applyAlignment="1">
      <alignment horizontal="center" vertical="center" wrapText="1"/>
    </xf>
    <xf numFmtId="0" fontId="14" fillId="13" borderId="32" xfId="0" applyFont="1" applyFill="1" applyBorder="1" applyAlignment="1">
      <alignment horizontal="center" vertical="center" wrapText="1"/>
    </xf>
    <xf numFmtId="0" fontId="15" fillId="11" borderId="32" xfId="0" applyFont="1" applyFill="1" applyBorder="1" applyAlignment="1">
      <alignment horizontal="center" vertical="center" wrapText="1"/>
    </xf>
    <xf numFmtId="0" fontId="17" fillId="0" borderId="32" xfId="0" applyFont="1" applyBorder="1" applyAlignment="1">
      <alignment horizontal="center" vertical="center"/>
    </xf>
    <xf numFmtId="0" fontId="11" fillId="24" borderId="32" xfId="0" applyFont="1" applyFill="1" applyBorder="1" applyAlignment="1">
      <alignment horizontal="center" vertical="center"/>
    </xf>
    <xf numFmtId="0" fontId="17" fillId="18" borderId="32" xfId="1" applyNumberFormat="1" applyFont="1" applyFill="1" applyBorder="1" applyAlignment="1">
      <alignment horizontal="center" vertical="center"/>
    </xf>
    <xf numFmtId="0" fontId="0" fillId="0" borderId="17" xfId="0" applyBorder="1" applyAlignment="1">
      <alignment horizontal="center" vertical="center" wrapText="1"/>
    </xf>
    <xf numFmtId="0" fontId="0" fillId="0" borderId="18" xfId="0" applyBorder="1" applyAlignment="1">
      <alignment horizontal="center" vertical="center" wrapText="1"/>
    </xf>
    <xf numFmtId="0" fontId="0" fillId="0" borderId="19" xfId="0" applyBorder="1" applyAlignment="1">
      <alignment horizontal="center" vertical="center" wrapText="1"/>
    </xf>
    <xf numFmtId="0" fontId="0" fillId="21" borderId="84" xfId="0" applyFill="1" applyBorder="1" applyAlignment="1">
      <alignment horizontal="center" vertical="center" wrapText="1"/>
    </xf>
    <xf numFmtId="0" fontId="0" fillId="21" borderId="102" xfId="0" applyFill="1" applyBorder="1" applyAlignment="1">
      <alignment horizontal="center" vertical="center"/>
    </xf>
    <xf numFmtId="0" fontId="0" fillId="21" borderId="102" xfId="1" applyNumberFormat="1" applyFont="1" applyFill="1" applyBorder="1" applyAlignment="1">
      <alignment horizontal="center" vertical="center"/>
    </xf>
    <xf numFmtId="2" fontId="0" fillId="32" borderId="102" xfId="0" applyNumberFormat="1" applyFill="1" applyBorder="1" applyAlignment="1">
      <alignment horizontal="center" vertical="center" wrapText="1"/>
    </xf>
    <xf numFmtId="2" fontId="0" fillId="32" borderId="103" xfId="0" applyNumberFormat="1" applyFill="1" applyBorder="1" applyAlignment="1">
      <alignment horizontal="center" vertical="center" wrapText="1"/>
    </xf>
    <xf numFmtId="0" fontId="0" fillId="34" borderId="1" xfId="0" applyFill="1" applyBorder="1" applyAlignment="1">
      <alignment horizontal="center" vertical="center" wrapText="1"/>
    </xf>
    <xf numFmtId="2" fontId="0" fillId="34" borderId="1" xfId="0" applyNumberFormat="1" applyFill="1" applyBorder="1" applyAlignment="1">
      <alignment horizontal="center" vertical="center" wrapText="1"/>
    </xf>
    <xf numFmtId="0" fontId="15" fillId="34" borderId="32" xfId="0" applyFont="1" applyFill="1" applyBorder="1" applyAlignment="1">
      <alignment horizontal="center" vertical="center" wrapText="1"/>
    </xf>
    <xf numFmtId="0" fontId="1" fillId="0" borderId="0" xfId="0" applyFont="1"/>
    <xf numFmtId="0" fontId="1" fillId="0" borderId="27" xfId="0" applyFont="1" applyBorder="1"/>
    <xf numFmtId="0" fontId="0" fillId="0" borderId="2" xfId="0" applyBorder="1" applyAlignment="1" applyProtection="1">
      <alignment horizontal="center" vertical="center" wrapText="1"/>
      <protection locked="0"/>
    </xf>
    <xf numFmtId="0" fontId="0" fillId="0" borderId="14" xfId="0" applyBorder="1" applyAlignment="1" applyProtection="1">
      <alignment horizontal="center" vertical="center" wrapText="1"/>
      <protection locked="0"/>
    </xf>
    <xf numFmtId="0" fontId="0" fillId="0" borderId="3" xfId="0" applyBorder="1" applyAlignment="1" applyProtection="1">
      <alignment horizontal="center" vertical="center" wrapText="1"/>
      <protection locked="0"/>
    </xf>
    <xf numFmtId="0" fontId="0" fillId="0" borderId="4" xfId="0" applyBorder="1" applyAlignment="1" applyProtection="1">
      <alignment horizontal="center" vertical="center" wrapText="1"/>
      <protection locked="0"/>
    </xf>
    <xf numFmtId="0" fontId="0" fillId="0" borderId="1" xfId="0" applyBorder="1" applyAlignment="1" applyProtection="1">
      <alignment horizontal="center" vertical="center" wrapText="1"/>
      <protection locked="0"/>
    </xf>
    <xf numFmtId="0" fontId="0" fillId="0" borderId="5" xfId="0" applyBorder="1" applyAlignment="1" applyProtection="1">
      <alignment horizontal="center" vertical="center" wrapText="1"/>
      <protection locked="0"/>
    </xf>
    <xf numFmtId="0" fontId="0" fillId="0" borderId="58" xfId="0" applyBorder="1" applyAlignment="1" applyProtection="1">
      <alignment horizontal="center" vertical="center" wrapText="1"/>
      <protection locked="0"/>
    </xf>
    <xf numFmtId="0" fontId="0" fillId="0" borderId="63" xfId="0" applyBorder="1" applyAlignment="1" applyProtection="1">
      <alignment horizontal="center" vertical="center" wrapText="1"/>
      <protection locked="0"/>
    </xf>
    <xf numFmtId="0" fontId="0" fillId="0" borderId="64" xfId="0" applyBorder="1" applyAlignment="1" applyProtection="1">
      <alignment horizontal="center" vertical="center" wrapText="1"/>
      <protection locked="0"/>
    </xf>
    <xf numFmtId="0" fontId="17" fillId="0" borderId="99" xfId="0" applyFont="1" applyBorder="1" applyAlignment="1">
      <alignment horizontal="center" vertical="center"/>
    </xf>
    <xf numFmtId="0" fontId="17" fillId="0" borderId="18" xfId="0" applyFont="1" applyBorder="1" applyAlignment="1">
      <alignment horizontal="center" vertical="center"/>
    </xf>
    <xf numFmtId="0" fontId="17" fillId="0" borderId="19" xfId="0" applyFont="1" applyBorder="1" applyAlignment="1">
      <alignment horizontal="center" vertical="center"/>
    </xf>
    <xf numFmtId="0" fontId="17" fillId="47" borderId="32" xfId="0" applyFont="1" applyFill="1" applyBorder="1" applyAlignment="1" applyProtection="1">
      <alignment horizontal="center" vertical="center"/>
      <protection locked="0"/>
    </xf>
    <xf numFmtId="0" fontId="17" fillId="47" borderId="30" xfId="0" applyFont="1" applyFill="1" applyBorder="1" applyAlignment="1" applyProtection="1">
      <alignment horizontal="center" vertical="center"/>
      <protection locked="0"/>
    </xf>
    <xf numFmtId="0" fontId="17" fillId="0" borderId="0" xfId="0" applyFont="1"/>
    <xf numFmtId="0" fontId="0" fillId="24" borderId="0" xfId="3" applyFont="1" applyFill="1" applyAlignment="1" applyProtection="1">
      <alignment horizontal="center" vertical="center"/>
      <protection hidden="1"/>
    </xf>
    <xf numFmtId="0" fontId="25" fillId="0" borderId="0" xfId="0" applyFont="1" applyProtection="1">
      <protection hidden="1"/>
    </xf>
    <xf numFmtId="0" fontId="26" fillId="39" borderId="11" xfId="3" applyFont="1" applyFill="1" applyBorder="1" applyAlignment="1" applyProtection="1">
      <alignment horizontal="center" vertical="center"/>
      <protection hidden="1"/>
    </xf>
    <xf numFmtId="0" fontId="26" fillId="39" borderId="13" xfId="3" applyFont="1" applyFill="1" applyBorder="1" applyAlignment="1" applyProtection="1">
      <alignment horizontal="center" vertical="center"/>
      <protection hidden="1"/>
    </xf>
    <xf numFmtId="1" fontId="27" fillId="18" borderId="2" xfId="1" applyNumberFormat="1" applyFont="1" applyFill="1" applyBorder="1" applyAlignment="1" applyProtection="1">
      <alignment horizontal="center" vertical="center" wrapText="1"/>
      <protection hidden="1"/>
    </xf>
    <xf numFmtId="10" fontId="27" fillId="18" borderId="3" xfId="1" applyNumberFormat="1" applyFont="1" applyFill="1" applyBorder="1" applyAlignment="1" applyProtection="1">
      <alignment horizontal="center" vertical="center"/>
      <protection hidden="1"/>
    </xf>
    <xf numFmtId="1" fontId="27" fillId="18" borderId="4" xfId="1" applyNumberFormat="1" applyFont="1" applyFill="1" applyBorder="1" applyAlignment="1" applyProtection="1">
      <alignment horizontal="center" vertical="center" wrapText="1"/>
      <protection hidden="1"/>
    </xf>
    <xf numFmtId="10" fontId="27" fillId="18" borderId="5" xfId="1" applyNumberFormat="1" applyFont="1" applyFill="1" applyBorder="1" applyAlignment="1" applyProtection="1">
      <alignment horizontal="center" vertical="center"/>
      <protection hidden="1"/>
    </xf>
    <xf numFmtId="0" fontId="25" fillId="0" borderId="48" xfId="0" applyFont="1" applyBorder="1" applyProtection="1">
      <protection hidden="1"/>
    </xf>
    <xf numFmtId="1" fontId="27" fillId="18" borderId="6" xfId="1" applyNumberFormat="1" applyFont="1" applyFill="1" applyBorder="1" applyAlignment="1" applyProtection="1">
      <alignment horizontal="center" vertical="center" wrapText="1"/>
      <protection hidden="1"/>
    </xf>
    <xf numFmtId="10" fontId="27" fillId="18" borderId="7" xfId="1" applyNumberFormat="1" applyFont="1" applyFill="1" applyBorder="1" applyAlignment="1" applyProtection="1">
      <alignment horizontal="center" vertical="center"/>
      <protection hidden="1"/>
    </xf>
    <xf numFmtId="1" fontId="26" fillId="20" borderId="94" xfId="1" applyNumberFormat="1" applyFont="1" applyFill="1" applyBorder="1" applyAlignment="1" applyProtection="1">
      <alignment horizontal="center" vertical="center" wrapText="1"/>
      <protection hidden="1"/>
    </xf>
    <xf numFmtId="0" fontId="26" fillId="20" borderId="97" xfId="0" applyFont="1" applyFill="1" applyBorder="1" applyAlignment="1" applyProtection="1">
      <alignment horizontal="center" vertical="center"/>
      <protection hidden="1"/>
    </xf>
    <xf numFmtId="1" fontId="26" fillId="20" borderId="6" xfId="1" applyNumberFormat="1" applyFont="1" applyFill="1" applyBorder="1" applyAlignment="1" applyProtection="1">
      <alignment horizontal="center" vertical="center" wrapText="1"/>
      <protection hidden="1"/>
    </xf>
    <xf numFmtId="10" fontId="26" fillId="20" borderId="7" xfId="0" applyNumberFormat="1" applyFont="1" applyFill="1" applyBorder="1" applyAlignment="1" applyProtection="1">
      <alignment horizontal="center" vertical="center"/>
      <protection hidden="1"/>
    </xf>
    <xf numFmtId="0" fontId="0" fillId="24" borderId="0" xfId="3" applyFont="1" applyFill="1" applyAlignment="1" applyProtection="1">
      <alignment horizontal="left" vertical="center"/>
      <protection hidden="1"/>
    </xf>
    <xf numFmtId="0" fontId="15" fillId="24" borderId="0" xfId="3" applyFont="1" applyFill="1" applyAlignment="1" applyProtection="1">
      <alignment horizontal="left" vertical="center"/>
      <protection hidden="1"/>
    </xf>
    <xf numFmtId="0" fontId="15" fillId="24" borderId="0" xfId="3" applyFont="1" applyFill="1" applyAlignment="1" applyProtection="1">
      <alignment horizontal="center" vertical="center"/>
      <protection hidden="1"/>
    </xf>
    <xf numFmtId="0" fontId="33" fillId="0" borderId="0" xfId="0" applyFont="1" applyAlignment="1" applyProtection="1">
      <alignment wrapText="1"/>
      <protection hidden="1"/>
    </xf>
    <xf numFmtId="0" fontId="11" fillId="0" borderId="32" xfId="0" applyFont="1" applyBorder="1" applyAlignment="1" applyProtection="1">
      <alignment horizontal="center" vertical="center"/>
      <protection locked="0"/>
    </xf>
    <xf numFmtId="0" fontId="11" fillId="0" borderId="30" xfId="0" applyFont="1" applyBorder="1" applyAlignment="1" applyProtection="1">
      <alignment horizontal="center" vertical="center"/>
      <protection locked="0"/>
    </xf>
    <xf numFmtId="0" fontId="20" fillId="24" borderId="0" xfId="3" applyFont="1" applyFill="1" applyAlignment="1" applyProtection="1">
      <alignment horizontal="left" vertical="center"/>
      <protection hidden="1"/>
    </xf>
    <xf numFmtId="0" fontId="25" fillId="0" borderId="50" xfId="0" applyFont="1" applyBorder="1" applyProtection="1">
      <protection hidden="1"/>
    </xf>
    <xf numFmtId="0" fontId="25" fillId="0" borderId="30" xfId="0" applyFont="1" applyBorder="1" applyProtection="1">
      <protection hidden="1"/>
    </xf>
    <xf numFmtId="0" fontId="4" fillId="24" borderId="0" xfId="3" applyFont="1" applyFill="1" applyAlignment="1" applyProtection="1">
      <alignment horizontal="left" vertical="center"/>
      <protection hidden="1"/>
    </xf>
    <xf numFmtId="2" fontId="28" fillId="24" borderId="0" xfId="3" applyNumberFormat="1" applyFont="1" applyFill="1" applyAlignment="1" applyProtection="1">
      <alignment horizontal="center" vertical="center"/>
      <protection hidden="1"/>
    </xf>
    <xf numFmtId="0" fontId="24" fillId="24" borderId="0" xfId="3" applyFont="1" applyFill="1" applyAlignment="1" applyProtection="1">
      <alignment horizontal="center" vertical="center"/>
      <protection hidden="1"/>
    </xf>
    <xf numFmtId="2" fontId="4" fillId="24" borderId="0" xfId="3" applyNumberFormat="1" applyFont="1" applyFill="1" applyAlignment="1" applyProtection="1">
      <alignment horizontal="left" vertical="center"/>
      <protection hidden="1"/>
    </xf>
    <xf numFmtId="0" fontId="29" fillId="24" borderId="0" xfId="3" applyFont="1" applyFill="1" applyAlignment="1" applyProtection="1">
      <alignment horizontal="left" vertical="center"/>
      <protection hidden="1"/>
    </xf>
    <xf numFmtId="0" fontId="24" fillId="24" borderId="0" xfId="3" applyFont="1" applyFill="1" applyAlignment="1" applyProtection="1">
      <alignment horizontal="center" vertical="center" wrapText="1"/>
      <protection hidden="1"/>
    </xf>
    <xf numFmtId="0" fontId="23" fillId="24" borderId="0" xfId="3" applyFont="1" applyFill="1" applyAlignment="1" applyProtection="1">
      <alignment horizontal="left" vertical="center"/>
      <protection hidden="1"/>
    </xf>
    <xf numFmtId="0" fontId="23" fillId="24" borderId="0" xfId="3" applyFont="1" applyFill="1" applyAlignment="1" applyProtection="1">
      <alignment horizontal="center" vertical="center"/>
      <protection hidden="1"/>
    </xf>
    <xf numFmtId="0" fontId="22" fillId="24" borderId="0" xfId="3" applyFont="1" applyFill="1" applyAlignment="1" applyProtection="1">
      <alignment horizontal="center" vertical="center"/>
      <protection hidden="1"/>
    </xf>
    <xf numFmtId="0" fontId="30" fillId="24" borderId="0" xfId="3" applyFont="1" applyFill="1" applyAlignment="1" applyProtection="1">
      <alignment horizontal="left" vertical="center"/>
      <protection hidden="1"/>
    </xf>
    <xf numFmtId="0" fontId="30" fillId="24" borderId="0" xfId="3" applyFont="1" applyFill="1" applyAlignment="1" applyProtection="1">
      <alignment horizontal="center" vertical="center"/>
      <protection hidden="1"/>
    </xf>
    <xf numFmtId="0" fontId="31" fillId="24" borderId="0" xfId="3" applyFont="1" applyFill="1" applyAlignment="1" applyProtection="1">
      <alignment horizontal="center" vertical="center"/>
      <protection hidden="1"/>
    </xf>
    <xf numFmtId="0" fontId="25" fillId="0" borderId="26" xfId="0" applyFont="1" applyBorder="1" applyProtection="1">
      <protection hidden="1"/>
    </xf>
    <xf numFmtId="0" fontId="0" fillId="24" borderId="27" xfId="3" applyFont="1" applyFill="1" applyBorder="1" applyAlignment="1" applyProtection="1">
      <alignment horizontal="left" vertical="center"/>
      <protection hidden="1"/>
    </xf>
    <xf numFmtId="0" fontId="0" fillId="24" borderId="27" xfId="3" applyFont="1" applyFill="1" applyBorder="1" applyAlignment="1" applyProtection="1">
      <alignment horizontal="center" vertical="center"/>
      <protection hidden="1"/>
    </xf>
    <xf numFmtId="0" fontId="25" fillId="0" borderId="28" xfId="0" applyFont="1" applyBorder="1" applyProtection="1">
      <protection hidden="1"/>
    </xf>
    <xf numFmtId="0" fontId="16" fillId="37" borderId="20" xfId="3" applyFont="1" applyFill="1" applyBorder="1" applyAlignment="1" applyProtection="1">
      <alignment horizontal="center" vertical="center" wrapText="1"/>
      <protection hidden="1"/>
    </xf>
    <xf numFmtId="0" fontId="16" fillId="37" borderId="24" xfId="3" applyFont="1" applyFill="1" applyBorder="1" applyAlignment="1" applyProtection="1">
      <alignment horizontal="center" vertical="center" wrapText="1"/>
      <protection hidden="1"/>
    </xf>
    <xf numFmtId="0" fontId="16" fillId="37" borderId="21" xfId="3" applyFont="1" applyFill="1" applyBorder="1" applyAlignment="1" applyProtection="1">
      <alignment horizontal="center" vertical="center" wrapText="1"/>
      <protection hidden="1"/>
    </xf>
    <xf numFmtId="0" fontId="34" fillId="40" borderId="2" xfId="3" applyFont="1" applyFill="1" applyBorder="1" applyAlignment="1" applyProtection="1">
      <alignment horizontal="left" vertical="center"/>
      <protection hidden="1"/>
    </xf>
    <xf numFmtId="2" fontId="34" fillId="40" borderId="12" xfId="3" applyNumberFormat="1" applyFont="1" applyFill="1" applyBorder="1" applyAlignment="1" applyProtection="1">
      <alignment horizontal="center" vertical="center"/>
      <protection hidden="1"/>
    </xf>
    <xf numFmtId="2" fontId="34" fillId="40" borderId="13" xfId="3" applyNumberFormat="1" applyFont="1" applyFill="1" applyBorder="1" applyAlignment="1" applyProtection="1">
      <alignment horizontal="center" vertical="center"/>
      <protection hidden="1"/>
    </xf>
    <xf numFmtId="0" fontId="35" fillId="21" borderId="26" xfId="3" applyFont="1" applyFill="1" applyBorder="1" applyAlignment="1" applyProtection="1">
      <alignment horizontal="left" vertical="center"/>
      <protection hidden="1"/>
    </xf>
    <xf numFmtId="2" fontId="35" fillId="21" borderId="72" xfId="3" applyNumberFormat="1" applyFont="1" applyFill="1" applyBorder="1" applyAlignment="1" applyProtection="1">
      <alignment horizontal="center" vertical="center"/>
      <protection hidden="1"/>
    </xf>
    <xf numFmtId="2" fontId="35" fillId="21" borderId="7" xfId="3" applyNumberFormat="1" applyFont="1" applyFill="1" applyBorder="1" applyAlignment="1" applyProtection="1">
      <alignment horizontal="center" vertical="center"/>
      <protection hidden="1"/>
    </xf>
    <xf numFmtId="0" fontId="1" fillId="0" borderId="0" xfId="0" applyFont="1" applyAlignment="1">
      <alignment horizontal="center" vertical="center" wrapText="1"/>
    </xf>
    <xf numFmtId="0" fontId="1" fillId="0" borderId="48" xfId="0" applyFont="1" applyBorder="1" applyAlignment="1">
      <alignment horizontal="left" vertical="center" wrapText="1"/>
    </xf>
    <xf numFmtId="0" fontId="1" fillId="0" borderId="50" xfId="0" applyFont="1" applyBorder="1" applyAlignment="1">
      <alignment horizontal="center" vertical="center" wrapText="1"/>
    </xf>
    <xf numFmtId="0" fontId="1" fillId="0" borderId="26" xfId="0" applyFont="1" applyBorder="1" applyAlignment="1">
      <alignment horizontal="left" vertical="center" wrapText="1"/>
    </xf>
    <xf numFmtId="0" fontId="1" fillId="0" borderId="27" xfId="0" applyFont="1" applyBorder="1" applyAlignment="1">
      <alignment horizontal="center" vertical="center" wrapText="1"/>
    </xf>
    <xf numFmtId="0" fontId="1" fillId="0" borderId="28" xfId="0" applyFont="1" applyBorder="1" applyAlignment="1">
      <alignment horizontal="center" vertical="center" wrapText="1"/>
    </xf>
    <xf numFmtId="0" fontId="1" fillId="0" borderId="0" xfId="0" applyFont="1" applyAlignment="1">
      <alignment horizontal="left" vertical="center" wrapText="1"/>
    </xf>
    <xf numFmtId="0" fontId="17" fillId="42" borderId="32" xfId="0" applyFont="1" applyFill="1" applyBorder="1" applyAlignment="1">
      <alignment horizontal="center" vertical="center" wrapText="1"/>
    </xf>
    <xf numFmtId="0" fontId="17" fillId="31" borderId="21" xfId="0" applyFont="1" applyFill="1" applyBorder="1" applyAlignment="1">
      <alignment horizontal="center" vertical="center" wrapText="1"/>
    </xf>
    <xf numFmtId="0" fontId="17" fillId="32" borderId="21" xfId="0" applyFont="1" applyFill="1" applyBorder="1" applyAlignment="1">
      <alignment horizontal="center" vertical="center" wrapText="1"/>
    </xf>
    <xf numFmtId="0" fontId="16" fillId="15" borderId="29" xfId="0" applyFont="1" applyFill="1" applyBorder="1" applyAlignment="1">
      <alignment horizontal="center" vertical="center" wrapText="1"/>
    </xf>
    <xf numFmtId="0" fontId="16" fillId="7" borderId="29" xfId="0" applyFont="1" applyFill="1" applyBorder="1" applyAlignment="1">
      <alignment vertical="center" wrapText="1"/>
    </xf>
    <xf numFmtId="0" fontId="1" fillId="0" borderId="50" xfId="0" applyFont="1" applyBorder="1"/>
    <xf numFmtId="0" fontId="1" fillId="0" borderId="28" xfId="0" applyFont="1" applyBorder="1"/>
    <xf numFmtId="0" fontId="16" fillId="27" borderId="25" xfId="0" applyFont="1" applyFill="1" applyBorder="1" applyAlignment="1">
      <alignment horizontal="center" vertical="center" wrapText="1"/>
    </xf>
    <xf numFmtId="0" fontId="16" fillId="27" borderId="29" xfId="0" applyFont="1" applyFill="1" applyBorder="1" applyAlignment="1">
      <alignment horizontal="center" vertical="center" wrapText="1"/>
    </xf>
    <xf numFmtId="0" fontId="1" fillId="0" borderId="48" xfId="0" applyFont="1" applyBorder="1"/>
    <xf numFmtId="0" fontId="1" fillId="0" borderId="26" xfId="0" applyFont="1" applyBorder="1"/>
    <xf numFmtId="2" fontId="0" fillId="32" borderId="17" xfId="0" applyNumberFormat="1" applyFill="1" applyBorder="1" applyAlignment="1">
      <alignment horizontal="center" vertical="center" wrapText="1"/>
    </xf>
    <xf numFmtId="2" fontId="0" fillId="32" borderId="18" xfId="0" applyNumberFormat="1" applyFill="1" applyBorder="1" applyAlignment="1">
      <alignment horizontal="center" vertical="center" wrapText="1"/>
    </xf>
    <xf numFmtId="2" fontId="0" fillId="32" borderId="19" xfId="0" applyNumberFormat="1" applyFill="1" applyBorder="1" applyAlignment="1">
      <alignment horizontal="center" vertical="center" wrapText="1"/>
    </xf>
    <xf numFmtId="0" fontId="17" fillId="35" borderId="23" xfId="0" applyFont="1" applyFill="1" applyBorder="1" applyAlignment="1">
      <alignment horizontal="center" vertical="center"/>
    </xf>
    <xf numFmtId="0" fontId="11" fillId="0" borderId="31" xfId="0" applyFont="1" applyBorder="1" applyAlignment="1" applyProtection="1">
      <alignment horizontal="center" vertical="center"/>
      <protection locked="0"/>
    </xf>
    <xf numFmtId="0" fontId="11" fillId="24" borderId="94" xfId="3" applyFont="1" applyFill="1" applyBorder="1" applyAlignment="1" applyProtection="1">
      <alignment horizontal="left" vertical="center"/>
      <protection hidden="1"/>
    </xf>
    <xf numFmtId="2" fontId="37" fillId="24" borderId="93" xfId="3" applyNumberFormat="1" applyFont="1" applyFill="1" applyBorder="1" applyAlignment="1" applyProtection="1">
      <alignment horizontal="center" vertical="center"/>
      <protection hidden="1"/>
    </xf>
    <xf numFmtId="2" fontId="41" fillId="24" borderId="97" xfId="3" applyNumberFormat="1" applyFont="1" applyFill="1" applyBorder="1" applyAlignment="1" applyProtection="1">
      <alignment horizontal="center" vertical="center"/>
      <protection hidden="1"/>
    </xf>
    <xf numFmtId="2" fontId="42" fillId="24" borderId="1" xfId="3" applyNumberFormat="1" applyFont="1" applyFill="1" applyBorder="1" applyAlignment="1" applyProtection="1">
      <alignment horizontal="center" vertical="center"/>
      <protection hidden="1"/>
    </xf>
    <xf numFmtId="2" fontId="17" fillId="24" borderId="5" xfId="3" applyNumberFormat="1" applyFont="1" applyFill="1" applyBorder="1" applyAlignment="1" applyProtection="1">
      <alignment horizontal="center" vertical="center"/>
      <protection hidden="1"/>
    </xf>
    <xf numFmtId="0" fontId="11" fillId="24" borderId="95" xfId="3" applyFont="1" applyFill="1" applyBorder="1" applyAlignment="1" applyProtection="1">
      <alignment horizontal="left" vertical="center"/>
      <protection hidden="1"/>
    </xf>
    <xf numFmtId="2" fontId="42" fillId="24" borderId="63" xfId="3" applyNumberFormat="1" applyFont="1" applyFill="1" applyBorder="1" applyAlignment="1" applyProtection="1">
      <alignment horizontal="center" vertical="center"/>
      <protection hidden="1"/>
    </xf>
    <xf numFmtId="2" fontId="17" fillId="24" borderId="64" xfId="3" applyNumberFormat="1" applyFont="1" applyFill="1" applyBorder="1" applyAlignment="1" applyProtection="1">
      <alignment horizontal="center" vertical="center"/>
      <protection hidden="1"/>
    </xf>
    <xf numFmtId="0" fontId="44" fillId="0" borderId="0" xfId="0" applyFont="1" applyAlignment="1" applyProtection="1">
      <alignment wrapText="1"/>
      <protection hidden="1"/>
    </xf>
    <xf numFmtId="0" fontId="43" fillId="29" borderId="26" xfId="0" applyFont="1" applyFill="1" applyBorder="1" applyAlignment="1" applyProtection="1">
      <alignment horizontal="center" vertical="center" wrapText="1"/>
      <protection hidden="1"/>
    </xf>
    <xf numFmtId="0" fontId="43" fillId="29" borderId="27" xfId="0" applyFont="1" applyFill="1" applyBorder="1" applyAlignment="1" applyProtection="1">
      <alignment horizontal="center" vertical="center" wrapText="1"/>
      <protection hidden="1"/>
    </xf>
    <xf numFmtId="0" fontId="43" fillId="29" borderId="0" xfId="0" applyFont="1" applyFill="1" applyAlignment="1" applyProtection="1">
      <alignment horizontal="center" vertical="center" wrapText="1"/>
      <protection hidden="1"/>
    </xf>
    <xf numFmtId="0" fontId="45" fillId="29" borderId="0" xfId="0" applyFont="1" applyFill="1" applyAlignment="1" applyProtection="1">
      <alignment horizontal="center" vertical="top" wrapText="1"/>
      <protection hidden="1"/>
    </xf>
    <xf numFmtId="0" fontId="45" fillId="29" borderId="50" xfId="0" applyFont="1" applyFill="1" applyBorder="1" applyAlignment="1" applyProtection="1">
      <alignment horizontal="center" vertical="top" wrapText="1"/>
      <protection hidden="1"/>
    </xf>
    <xf numFmtId="0" fontId="46" fillId="32" borderId="65" xfId="0" applyFont="1" applyFill="1" applyBorder="1" applyAlignment="1" applyProtection="1">
      <alignment horizontal="center" vertical="center" wrapText="1"/>
      <protection locked="0" hidden="1"/>
    </xf>
    <xf numFmtId="0" fontId="45" fillId="29" borderId="0" xfId="0" applyFont="1" applyFill="1" applyAlignment="1" applyProtection="1">
      <alignment horizontal="center" vertical="center" wrapText="1"/>
      <protection hidden="1"/>
    </xf>
    <xf numFmtId="0" fontId="46" fillId="32" borderId="67" xfId="0" applyFont="1" applyFill="1" applyBorder="1" applyAlignment="1" applyProtection="1">
      <alignment horizontal="center" vertical="center" wrapText="1"/>
      <protection locked="0" hidden="1"/>
    </xf>
    <xf numFmtId="0" fontId="44" fillId="24" borderId="0" xfId="0" applyFont="1" applyFill="1" applyAlignment="1" applyProtection="1">
      <alignment wrapText="1"/>
      <protection hidden="1"/>
    </xf>
    <xf numFmtId="0" fontId="45" fillId="24" borderId="0" xfId="0" applyFont="1" applyFill="1" applyAlignment="1" applyProtection="1">
      <alignment vertical="center" wrapText="1"/>
      <protection hidden="1"/>
    </xf>
    <xf numFmtId="0" fontId="45" fillId="24" borderId="0" xfId="0" applyFont="1" applyFill="1" applyAlignment="1" applyProtection="1">
      <alignment horizontal="center" vertical="top" wrapText="1"/>
      <protection hidden="1"/>
    </xf>
    <xf numFmtId="0" fontId="44" fillId="24" borderId="0" xfId="0" applyFont="1" applyFill="1" applyAlignment="1" applyProtection="1">
      <alignment horizontal="left" vertical="center" wrapText="1"/>
      <protection locked="0" hidden="1"/>
    </xf>
    <xf numFmtId="0" fontId="45" fillId="24" borderId="0" xfId="0" applyFont="1" applyFill="1" applyAlignment="1" applyProtection="1">
      <alignment horizontal="left" vertical="center" wrapText="1"/>
      <protection hidden="1"/>
    </xf>
    <xf numFmtId="0" fontId="43" fillId="24" borderId="0" xfId="0" applyFont="1" applyFill="1" applyAlignment="1" applyProtection="1">
      <alignment horizontal="center" vertical="center" wrapText="1"/>
      <protection hidden="1"/>
    </xf>
    <xf numFmtId="0" fontId="43" fillId="24" borderId="0" xfId="0" applyFont="1" applyFill="1" applyAlignment="1" applyProtection="1">
      <alignment vertical="center" wrapText="1"/>
      <protection hidden="1"/>
    </xf>
    <xf numFmtId="0" fontId="46" fillId="32" borderId="70" xfId="0" applyFont="1" applyFill="1" applyBorder="1" applyAlignment="1" applyProtection="1">
      <alignment horizontal="center" vertical="center" wrapText="1"/>
      <protection locked="0" hidden="1"/>
    </xf>
    <xf numFmtId="164" fontId="43" fillId="24" borderId="0" xfId="0" applyNumberFormat="1" applyFont="1" applyFill="1" applyAlignment="1" applyProtection="1">
      <alignment horizontal="center" vertical="center" wrapText="1"/>
      <protection hidden="1"/>
    </xf>
    <xf numFmtId="0" fontId="46" fillId="24" borderId="48" xfId="0" applyFont="1" applyFill="1" applyBorder="1" applyAlignment="1" applyProtection="1">
      <alignment vertical="center" wrapText="1"/>
      <protection hidden="1"/>
    </xf>
    <xf numFmtId="0" fontId="46" fillId="24" borderId="0" xfId="0" applyFont="1" applyFill="1" applyAlignment="1" applyProtection="1">
      <alignment vertical="center" wrapText="1"/>
      <protection hidden="1"/>
    </xf>
    <xf numFmtId="0" fontId="43" fillId="29" borderId="48" xfId="0" applyFont="1" applyFill="1" applyBorder="1" applyAlignment="1" applyProtection="1">
      <alignment horizontal="left" vertical="top" wrapText="1"/>
      <protection hidden="1"/>
    </xf>
    <xf numFmtId="0" fontId="44" fillId="33" borderId="32" xfId="0" applyFont="1" applyFill="1" applyBorder="1" applyAlignment="1" applyProtection="1">
      <alignment horizontal="center" vertical="center" wrapText="1"/>
      <protection hidden="1"/>
    </xf>
    <xf numFmtId="0" fontId="44" fillId="21" borderId="2" xfId="0" applyFont="1" applyFill="1" applyBorder="1" applyAlignment="1" applyProtection="1">
      <alignment vertical="center" wrapText="1"/>
      <protection hidden="1"/>
    </xf>
    <xf numFmtId="0" fontId="45" fillId="24" borderId="14" xfId="0" applyFont="1" applyFill="1" applyBorder="1" applyAlignment="1" applyProtection="1">
      <alignment horizontal="center" vertical="center" wrapText="1"/>
      <protection hidden="1"/>
    </xf>
    <xf numFmtId="0" fontId="43" fillId="24" borderId="44" xfId="0" applyFont="1" applyFill="1" applyBorder="1" applyAlignment="1" applyProtection="1">
      <alignment horizontal="center" vertical="center" wrapText="1"/>
      <protection hidden="1"/>
    </xf>
    <xf numFmtId="0" fontId="45" fillId="33" borderId="2" xfId="0" applyFont="1" applyFill="1" applyBorder="1" applyAlignment="1" applyProtection="1">
      <alignment horizontal="center" vertical="center" wrapText="1"/>
      <protection hidden="1"/>
    </xf>
    <xf numFmtId="9" fontId="45" fillId="20" borderId="14" xfId="1" applyFont="1" applyFill="1" applyBorder="1" applyAlignment="1" applyProtection="1">
      <alignment horizontal="center" vertical="center" wrapText="1"/>
      <protection hidden="1"/>
    </xf>
    <xf numFmtId="0" fontId="45" fillId="20" borderId="3" xfId="0" applyFont="1" applyFill="1" applyBorder="1" applyAlignment="1" applyProtection="1">
      <alignment horizontal="center" vertical="center" wrapText="1"/>
      <protection hidden="1"/>
    </xf>
    <xf numFmtId="0" fontId="44" fillId="18" borderId="46" xfId="0" applyFont="1" applyFill="1" applyBorder="1" applyAlignment="1" applyProtection="1">
      <alignment horizontal="center" vertical="center" wrapText="1"/>
      <protection hidden="1"/>
    </xf>
    <xf numFmtId="0" fontId="45" fillId="18" borderId="46" xfId="0" applyFont="1" applyFill="1" applyBorder="1" applyAlignment="1" applyProtection="1">
      <alignment horizontal="center" vertical="center" wrapText="1"/>
      <protection hidden="1"/>
    </xf>
    <xf numFmtId="0" fontId="44" fillId="18" borderId="14" xfId="0" applyFont="1" applyFill="1" applyBorder="1" applyAlignment="1" applyProtection="1">
      <alignment horizontal="center" vertical="center" wrapText="1"/>
      <protection hidden="1"/>
    </xf>
    <xf numFmtId="0" fontId="44" fillId="18" borderId="3" xfId="0" applyFont="1" applyFill="1" applyBorder="1" applyAlignment="1" applyProtection="1">
      <alignment horizontal="center" vertical="center" wrapText="1"/>
      <protection hidden="1"/>
    </xf>
    <xf numFmtId="0" fontId="44" fillId="21" borderId="58" xfId="0" applyFont="1" applyFill="1" applyBorder="1" applyAlignment="1" applyProtection="1">
      <alignment vertical="center" wrapText="1"/>
      <protection hidden="1"/>
    </xf>
    <xf numFmtId="0" fontId="45" fillId="24" borderId="63" xfId="0" applyFont="1" applyFill="1" applyBorder="1" applyAlignment="1" applyProtection="1">
      <alignment horizontal="center" vertical="center" wrapText="1"/>
      <protection hidden="1"/>
    </xf>
    <xf numFmtId="0" fontId="43" fillId="24" borderId="96" xfId="0" applyFont="1" applyFill="1" applyBorder="1" applyAlignment="1" applyProtection="1">
      <alignment horizontal="center" vertical="center" wrapText="1"/>
      <protection hidden="1"/>
    </xf>
    <xf numFmtId="0" fontId="45" fillId="33" borderId="6" xfId="0" applyFont="1" applyFill="1" applyBorder="1" applyAlignment="1" applyProtection="1">
      <alignment horizontal="center" vertical="center" wrapText="1"/>
      <protection hidden="1"/>
    </xf>
    <xf numFmtId="9" fontId="45" fillId="20" borderId="72" xfId="0" applyNumberFormat="1" applyFont="1" applyFill="1" applyBorder="1" applyAlignment="1" applyProtection="1">
      <alignment horizontal="center" vertical="center" wrapText="1"/>
      <protection hidden="1"/>
    </xf>
    <xf numFmtId="0" fontId="45" fillId="20" borderId="7" xfId="0" applyFont="1" applyFill="1" applyBorder="1" applyAlignment="1" applyProtection="1">
      <alignment horizontal="center" vertical="center" wrapText="1"/>
      <protection hidden="1"/>
    </xf>
    <xf numFmtId="0" fontId="44" fillId="18" borderId="76" xfId="0" applyFont="1" applyFill="1" applyBorder="1" applyAlignment="1" applyProtection="1">
      <alignment horizontal="center" vertical="center" wrapText="1"/>
      <protection hidden="1"/>
    </xf>
    <xf numFmtId="0" fontId="44" fillId="18" borderId="63" xfId="0" applyFont="1" applyFill="1" applyBorder="1" applyAlignment="1" applyProtection="1">
      <alignment horizontal="center" vertical="center" wrapText="1"/>
      <protection hidden="1"/>
    </xf>
    <xf numFmtId="0" fontId="44" fillId="18" borderId="64" xfId="0" applyFont="1" applyFill="1" applyBorder="1" applyAlignment="1" applyProtection="1">
      <alignment horizontal="center" vertical="center" wrapText="1"/>
      <protection hidden="1"/>
    </xf>
    <xf numFmtId="0" fontId="43" fillId="32" borderId="88" xfId="0" applyFont="1" applyFill="1" applyBorder="1" applyAlignment="1" applyProtection="1">
      <alignment horizontal="center" vertical="center" wrapText="1"/>
      <protection locked="0" hidden="1"/>
    </xf>
    <xf numFmtId="0" fontId="45" fillId="33" borderId="94" xfId="0" applyFont="1" applyFill="1" applyBorder="1" applyAlignment="1" applyProtection="1">
      <alignment horizontal="center" vertical="center" wrapText="1"/>
      <protection hidden="1"/>
    </xf>
    <xf numFmtId="9" fontId="45" fillId="20" borderId="93" xfId="0" applyNumberFormat="1" applyFont="1" applyFill="1" applyBorder="1" applyAlignment="1" applyProtection="1">
      <alignment horizontal="center" vertical="center" wrapText="1"/>
      <protection hidden="1"/>
    </xf>
    <xf numFmtId="0" fontId="45" fillId="20" borderId="97" xfId="0" applyFont="1" applyFill="1" applyBorder="1" applyAlignment="1" applyProtection="1">
      <alignment horizontal="center" vertical="center" wrapText="1"/>
      <protection hidden="1"/>
    </xf>
    <xf numFmtId="0" fontId="44" fillId="29" borderId="77" xfId="0" applyFont="1" applyFill="1" applyBorder="1" applyAlignment="1" applyProtection="1">
      <alignment horizontal="center" vertical="center" wrapText="1"/>
      <protection hidden="1"/>
    </xf>
    <xf numFmtId="0" fontId="44" fillId="29" borderId="65" xfId="0" applyFont="1" applyFill="1" applyBorder="1" applyAlignment="1" applyProtection="1">
      <alignment horizontal="center" vertical="center" wrapText="1"/>
      <protection hidden="1"/>
    </xf>
    <xf numFmtId="0" fontId="44" fillId="29" borderId="66" xfId="0" applyFont="1" applyFill="1" applyBorder="1" applyAlignment="1" applyProtection="1">
      <alignment horizontal="center" vertical="center" wrapText="1"/>
      <protection hidden="1"/>
    </xf>
    <xf numFmtId="0" fontId="43" fillId="32" borderId="89" xfId="0" applyFont="1" applyFill="1" applyBorder="1" applyAlignment="1" applyProtection="1">
      <alignment horizontal="center" vertical="center" wrapText="1"/>
      <protection locked="0" hidden="1"/>
    </xf>
    <xf numFmtId="0" fontId="45" fillId="33" borderId="4" xfId="0" applyFont="1" applyFill="1" applyBorder="1" applyAlignment="1" applyProtection="1">
      <alignment horizontal="center" vertical="center" wrapText="1"/>
      <protection hidden="1"/>
    </xf>
    <xf numFmtId="9" fontId="45" fillId="20" borderId="1" xfId="0" applyNumberFormat="1" applyFont="1" applyFill="1" applyBorder="1" applyAlignment="1" applyProtection="1">
      <alignment horizontal="center" vertical="center" wrapText="1"/>
      <protection hidden="1"/>
    </xf>
    <xf numFmtId="0" fontId="45" fillId="20" borderId="5" xfId="0" applyFont="1" applyFill="1" applyBorder="1" applyAlignment="1" applyProtection="1">
      <alignment horizontal="center" vertical="center" wrapText="1"/>
      <protection hidden="1"/>
    </xf>
    <xf numFmtId="0" fontId="45" fillId="29" borderId="69" xfId="0" applyFont="1" applyFill="1" applyBorder="1" applyAlignment="1" applyProtection="1">
      <alignment horizontal="center" vertical="center" wrapText="1"/>
      <protection hidden="1"/>
    </xf>
    <xf numFmtId="0" fontId="45" fillId="29" borderId="67" xfId="0" applyFont="1" applyFill="1" applyBorder="1" applyAlignment="1" applyProtection="1">
      <alignment horizontal="center" vertical="center" wrapText="1"/>
      <protection hidden="1"/>
    </xf>
    <xf numFmtId="0" fontId="44" fillId="29" borderId="67" xfId="0" applyFont="1" applyFill="1" applyBorder="1" applyAlignment="1" applyProtection="1">
      <alignment horizontal="center" vertical="center" wrapText="1"/>
      <protection hidden="1"/>
    </xf>
    <xf numFmtId="0" fontId="44" fillId="29" borderId="68" xfId="0" applyFont="1" applyFill="1" applyBorder="1" applyAlignment="1" applyProtection="1">
      <alignment horizontal="center" vertical="center" wrapText="1"/>
      <protection hidden="1"/>
    </xf>
    <xf numFmtId="0" fontId="44" fillId="29" borderId="69" xfId="0" applyFont="1" applyFill="1" applyBorder="1" applyAlignment="1" applyProtection="1">
      <alignment horizontal="center" vertical="center" wrapText="1"/>
      <protection hidden="1"/>
    </xf>
    <xf numFmtId="0" fontId="43" fillId="32" borderId="90" xfId="0" applyFont="1" applyFill="1" applyBorder="1" applyAlignment="1" applyProtection="1">
      <alignment horizontal="center" vertical="center" wrapText="1"/>
      <protection locked="0" hidden="1"/>
    </xf>
    <xf numFmtId="0" fontId="45" fillId="29" borderId="78" xfId="0" applyFont="1" applyFill="1" applyBorder="1" applyAlignment="1" applyProtection="1">
      <alignment horizontal="center" vertical="center" wrapText="1"/>
      <protection hidden="1"/>
    </xf>
    <xf numFmtId="0" fontId="45" fillId="29" borderId="70" xfId="0" applyFont="1" applyFill="1" applyBorder="1" applyAlignment="1" applyProtection="1">
      <alignment horizontal="center" vertical="center" wrapText="1"/>
      <protection hidden="1"/>
    </xf>
    <xf numFmtId="0" fontId="44" fillId="29" borderId="70" xfId="0" applyFont="1" applyFill="1" applyBorder="1" applyAlignment="1" applyProtection="1">
      <alignment horizontal="center" vertical="center" wrapText="1"/>
      <protection hidden="1"/>
    </xf>
    <xf numFmtId="0" fontId="44" fillId="29" borderId="71" xfId="0" applyFont="1" applyFill="1" applyBorder="1" applyAlignment="1" applyProtection="1">
      <alignment horizontal="center" vertical="center" wrapText="1"/>
      <protection hidden="1"/>
    </xf>
    <xf numFmtId="0" fontId="45" fillId="24" borderId="26" xfId="0" applyFont="1" applyFill="1" applyBorder="1" applyAlignment="1" applyProtection="1">
      <alignment horizontal="left" vertical="top" wrapText="1"/>
      <protection hidden="1"/>
    </xf>
    <xf numFmtId="0" fontId="45" fillId="24" borderId="27" xfId="0" applyFont="1" applyFill="1" applyBorder="1" applyAlignment="1" applyProtection="1">
      <alignment horizontal="center" vertical="center" wrapText="1"/>
      <protection hidden="1"/>
    </xf>
    <xf numFmtId="0" fontId="48" fillId="24" borderId="27" xfId="0" applyFont="1" applyFill="1" applyBorder="1" applyAlignment="1" applyProtection="1">
      <alignment horizontal="center" vertical="center" wrapText="1"/>
      <protection hidden="1"/>
    </xf>
    <xf numFmtId="2" fontId="49" fillId="24" borderId="28" xfId="0" applyNumberFormat="1" applyFont="1" applyFill="1" applyBorder="1" applyAlignment="1" applyProtection="1">
      <alignment horizontal="center" vertical="center" wrapText="1"/>
      <protection hidden="1"/>
    </xf>
    <xf numFmtId="2" fontId="49" fillId="29" borderId="26" xfId="0" applyNumberFormat="1" applyFont="1" applyFill="1" applyBorder="1" applyAlignment="1" applyProtection="1">
      <alignment horizontal="center" vertical="center" wrapText="1"/>
      <protection hidden="1"/>
    </xf>
    <xf numFmtId="2" fontId="50" fillId="24" borderId="31" xfId="0" applyNumberFormat="1" applyFont="1" applyFill="1" applyBorder="1" applyAlignment="1" applyProtection="1">
      <alignment horizontal="center" vertical="center" wrapText="1"/>
      <protection hidden="1"/>
    </xf>
    <xf numFmtId="0" fontId="45" fillId="24" borderId="27" xfId="0" applyFont="1" applyFill="1" applyBorder="1" applyAlignment="1" applyProtection="1">
      <alignment horizontal="left" vertical="top" wrapText="1"/>
      <protection hidden="1"/>
    </xf>
    <xf numFmtId="0" fontId="45" fillId="24" borderId="27" xfId="0" applyFont="1" applyFill="1" applyBorder="1" applyAlignment="1" applyProtection="1">
      <alignment horizontal="center" vertical="top" wrapText="1"/>
      <protection hidden="1"/>
    </xf>
    <xf numFmtId="0" fontId="45" fillId="24" borderId="28" xfId="0" applyFont="1" applyFill="1" applyBorder="1" applyAlignment="1" applyProtection="1">
      <alignment horizontal="center" vertical="top" wrapText="1"/>
      <protection hidden="1"/>
    </xf>
    <xf numFmtId="9" fontId="45" fillId="20" borderId="77" xfId="0" applyNumberFormat="1" applyFont="1" applyFill="1" applyBorder="1" applyAlignment="1" applyProtection="1">
      <alignment horizontal="center" vertical="center" wrapText="1"/>
      <protection hidden="1"/>
    </xf>
    <xf numFmtId="0" fontId="45" fillId="29" borderId="77" xfId="0" applyFont="1" applyFill="1" applyBorder="1" applyAlignment="1" applyProtection="1">
      <alignment horizontal="center" vertical="center" wrapText="1"/>
      <protection hidden="1"/>
    </xf>
    <xf numFmtId="0" fontId="45" fillId="29" borderId="65" xfId="0" applyFont="1" applyFill="1" applyBorder="1" applyAlignment="1" applyProtection="1">
      <alignment horizontal="center" vertical="center" wrapText="1"/>
      <protection hidden="1"/>
    </xf>
    <xf numFmtId="9" fontId="45" fillId="20" borderId="69" xfId="0" applyNumberFormat="1" applyFont="1" applyFill="1" applyBorder="1" applyAlignment="1" applyProtection="1">
      <alignment horizontal="center" vertical="center" wrapText="1"/>
      <protection hidden="1"/>
    </xf>
    <xf numFmtId="0" fontId="44" fillId="0" borderId="79" xfId="0" applyFont="1" applyBorder="1" applyAlignment="1" applyProtection="1">
      <alignment wrapText="1"/>
      <protection hidden="1"/>
    </xf>
    <xf numFmtId="9" fontId="45" fillId="20" borderId="78" xfId="0" applyNumberFormat="1" applyFont="1" applyFill="1" applyBorder="1" applyAlignment="1" applyProtection="1">
      <alignment horizontal="center" vertical="center" wrapText="1"/>
      <protection hidden="1"/>
    </xf>
    <xf numFmtId="0" fontId="44" fillId="0" borderId="80" xfId="0" applyFont="1" applyBorder="1" applyAlignment="1" applyProtection="1">
      <alignment wrapText="1"/>
      <protection hidden="1"/>
    </xf>
    <xf numFmtId="0" fontId="45" fillId="0" borderId="26" xfId="0" applyFont="1" applyBorder="1" applyAlignment="1" applyProtection="1">
      <alignment horizontal="left" vertical="top" wrapText="1"/>
      <protection hidden="1"/>
    </xf>
    <xf numFmtId="0" fontId="45" fillId="0" borderId="27" xfId="0" applyFont="1" applyBorder="1" applyAlignment="1" applyProtection="1">
      <alignment horizontal="center" vertical="center" wrapText="1"/>
      <protection hidden="1"/>
    </xf>
    <xf numFmtId="2" fontId="50" fillId="24" borderId="32" xfId="0" applyNumberFormat="1" applyFont="1" applyFill="1" applyBorder="1" applyAlignment="1" applyProtection="1">
      <alignment horizontal="center" vertical="center" wrapText="1"/>
      <protection hidden="1"/>
    </xf>
    <xf numFmtId="0" fontId="45" fillId="29" borderId="81" xfId="0" applyFont="1" applyFill="1" applyBorder="1" applyAlignment="1" applyProtection="1">
      <alignment horizontal="center" vertical="center" wrapText="1"/>
      <protection hidden="1"/>
    </xf>
    <xf numFmtId="0" fontId="44" fillId="29" borderId="81" xfId="0" applyFont="1" applyFill="1" applyBorder="1" applyAlignment="1" applyProtection="1">
      <alignment horizontal="center" vertical="center" wrapText="1"/>
      <protection hidden="1"/>
    </xf>
    <xf numFmtId="0" fontId="44" fillId="29" borderId="82" xfId="0" applyFont="1" applyFill="1" applyBorder="1" applyAlignment="1" applyProtection="1">
      <alignment horizontal="center" vertical="center" wrapText="1"/>
      <protection hidden="1"/>
    </xf>
    <xf numFmtId="0" fontId="44" fillId="21" borderId="32" xfId="0" applyFont="1" applyFill="1" applyBorder="1" applyAlignment="1" applyProtection="1">
      <alignment vertical="center" wrapText="1"/>
      <protection hidden="1"/>
    </xf>
    <xf numFmtId="0" fontId="45" fillId="24" borderId="112" xfId="0" applyFont="1" applyFill="1" applyBorder="1" applyAlignment="1" applyProtection="1">
      <alignment horizontal="center" vertical="center" wrapText="1"/>
      <protection hidden="1"/>
    </xf>
    <xf numFmtId="0" fontId="43" fillId="24" borderId="84" xfId="0" applyFont="1" applyFill="1" applyBorder="1" applyAlignment="1" applyProtection="1">
      <alignment horizontal="center" vertical="center" wrapText="1"/>
      <protection hidden="1"/>
    </xf>
    <xf numFmtId="9" fontId="45" fillId="20" borderId="25" xfId="0" applyNumberFormat="1" applyFont="1" applyFill="1" applyBorder="1" applyAlignment="1" applyProtection="1">
      <alignment horizontal="center" vertical="center" wrapText="1"/>
      <protection hidden="1"/>
    </xf>
    <xf numFmtId="0" fontId="44" fillId="18" borderId="85" xfId="0" applyFont="1" applyFill="1" applyBorder="1" applyAlignment="1" applyProtection="1">
      <alignment horizontal="center" vertical="center" wrapText="1"/>
      <protection hidden="1"/>
    </xf>
    <xf numFmtId="0" fontId="44" fillId="18" borderId="86" xfId="0" applyFont="1" applyFill="1" applyBorder="1" applyAlignment="1" applyProtection="1">
      <alignment horizontal="center" vertical="center" wrapText="1"/>
      <protection hidden="1"/>
    </xf>
    <xf numFmtId="0" fontId="44" fillId="18" borderId="87" xfId="0" applyFont="1" applyFill="1" applyBorder="1" applyAlignment="1" applyProtection="1">
      <alignment horizontal="center" vertical="center" wrapText="1"/>
      <protection hidden="1"/>
    </xf>
    <xf numFmtId="9" fontId="45" fillId="20" borderId="60" xfId="1" applyFont="1" applyFill="1" applyBorder="1" applyAlignment="1" applyProtection="1">
      <alignment horizontal="center" vertical="center" wrapText="1"/>
      <protection hidden="1"/>
    </xf>
    <xf numFmtId="9" fontId="45" fillId="20" borderId="61" xfId="0" applyNumberFormat="1" applyFont="1" applyFill="1" applyBorder="1" applyAlignment="1" applyProtection="1">
      <alignment horizontal="center" vertical="center" wrapText="1"/>
      <protection hidden="1"/>
    </xf>
    <xf numFmtId="9" fontId="45" fillId="20" borderId="62" xfId="0" applyNumberFormat="1" applyFont="1" applyFill="1" applyBorder="1" applyAlignment="1" applyProtection="1">
      <alignment horizontal="center" vertical="center" wrapText="1"/>
      <protection hidden="1"/>
    </xf>
    <xf numFmtId="0" fontId="44" fillId="0" borderId="91" xfId="0" applyFont="1" applyBorder="1" applyAlignment="1" applyProtection="1">
      <alignment wrapText="1"/>
      <protection hidden="1"/>
    </xf>
    <xf numFmtId="0" fontId="45" fillId="29" borderId="26" xfId="0" applyFont="1" applyFill="1" applyBorder="1" applyAlignment="1" applyProtection="1">
      <alignment horizontal="left" vertical="top" wrapText="1"/>
      <protection hidden="1"/>
    </xf>
    <xf numFmtId="0" fontId="45" fillId="29" borderId="27" xfId="0" applyFont="1" applyFill="1" applyBorder="1" applyAlignment="1" applyProtection="1">
      <alignment horizontal="center" vertical="center" wrapText="1"/>
      <protection hidden="1"/>
    </xf>
    <xf numFmtId="1" fontId="49" fillId="29" borderId="27" xfId="0" applyNumberFormat="1" applyFont="1" applyFill="1" applyBorder="1" applyAlignment="1" applyProtection="1">
      <alignment horizontal="center" vertical="center" wrapText="1"/>
      <protection hidden="1"/>
    </xf>
    <xf numFmtId="2" fontId="49" fillId="29" borderId="28" xfId="0" applyNumberFormat="1" applyFont="1" applyFill="1" applyBorder="1" applyAlignment="1" applyProtection="1">
      <alignment horizontal="center" vertical="center" wrapText="1"/>
      <protection hidden="1"/>
    </xf>
    <xf numFmtId="0" fontId="45" fillId="29" borderId="24" xfId="0" applyFont="1" applyFill="1" applyBorder="1" applyAlignment="1" applyProtection="1">
      <alignment horizontal="center" vertical="top" wrapText="1"/>
      <protection hidden="1"/>
    </xf>
    <xf numFmtId="0" fontId="44" fillId="29" borderId="24" xfId="0" applyFont="1" applyFill="1" applyBorder="1" applyAlignment="1" applyProtection="1">
      <alignment horizontal="center" vertical="top" wrapText="1"/>
      <protection hidden="1"/>
    </xf>
    <xf numFmtId="0" fontId="45" fillId="29" borderId="21" xfId="0" applyFont="1" applyFill="1" applyBorder="1" applyAlignment="1" applyProtection="1">
      <alignment horizontal="center" vertical="top" wrapText="1"/>
      <protection hidden="1"/>
    </xf>
    <xf numFmtId="9" fontId="45" fillId="20" borderId="77" xfId="1" applyFont="1" applyFill="1" applyBorder="1" applyAlignment="1" applyProtection="1">
      <alignment horizontal="center" vertical="center" wrapText="1"/>
      <protection hidden="1"/>
    </xf>
    <xf numFmtId="0" fontId="49" fillId="24" borderId="27" xfId="0" applyFont="1" applyFill="1" applyBorder="1" applyAlignment="1" applyProtection="1">
      <alignment horizontal="center" vertical="center" wrapText="1"/>
      <protection hidden="1"/>
    </xf>
    <xf numFmtId="0" fontId="49" fillId="24" borderId="26" xfId="0" applyFont="1" applyFill="1" applyBorder="1" applyAlignment="1" applyProtection="1">
      <alignment horizontal="center" vertical="center" wrapText="1"/>
      <protection hidden="1"/>
    </xf>
    <xf numFmtId="2" fontId="50" fillId="24" borderId="28" xfId="0" applyNumberFormat="1" applyFont="1" applyFill="1" applyBorder="1" applyAlignment="1" applyProtection="1">
      <alignment horizontal="center" vertical="center" wrapText="1"/>
      <protection hidden="1"/>
    </xf>
    <xf numFmtId="0" fontId="45" fillId="0" borderId="27" xfId="0" applyFont="1" applyBorder="1" applyAlignment="1" applyProtection="1">
      <alignment horizontal="left" vertical="top" wrapText="1"/>
      <protection hidden="1"/>
    </xf>
    <xf numFmtId="0" fontId="45" fillId="0" borderId="27" xfId="0" applyFont="1" applyBorder="1" applyAlignment="1" applyProtection="1">
      <alignment horizontal="center" vertical="top" wrapText="1"/>
      <protection hidden="1"/>
    </xf>
    <xf numFmtId="0" fontId="45" fillId="0" borderId="28" xfId="0" applyFont="1" applyBorder="1" applyAlignment="1" applyProtection="1">
      <alignment horizontal="center" vertical="top" wrapText="1"/>
      <protection hidden="1"/>
    </xf>
    <xf numFmtId="0" fontId="17" fillId="29" borderId="77" xfId="0" applyFont="1" applyFill="1" applyBorder="1" applyAlignment="1" applyProtection="1">
      <alignment horizontal="center" vertical="center" wrapText="1"/>
      <protection hidden="1"/>
    </xf>
    <xf numFmtId="0" fontId="17" fillId="29" borderId="65" xfId="0" applyFont="1" applyFill="1" applyBorder="1" applyAlignment="1" applyProtection="1">
      <alignment horizontal="center" vertical="center" wrapText="1"/>
      <protection hidden="1"/>
    </xf>
    <xf numFmtId="0" fontId="17" fillId="29" borderId="66" xfId="0" applyFont="1" applyFill="1" applyBorder="1" applyAlignment="1" applyProtection="1">
      <alignment horizontal="center" vertical="center" wrapText="1"/>
      <protection hidden="1"/>
    </xf>
    <xf numFmtId="0" fontId="17" fillId="29" borderId="69" xfId="0" applyFont="1" applyFill="1" applyBorder="1" applyAlignment="1" applyProtection="1">
      <alignment horizontal="center" vertical="center" wrapText="1"/>
      <protection hidden="1"/>
    </xf>
    <xf numFmtId="0" fontId="17" fillId="29" borderId="67" xfId="0" applyFont="1" applyFill="1" applyBorder="1" applyAlignment="1" applyProtection="1">
      <alignment horizontal="center" vertical="center" wrapText="1"/>
      <protection hidden="1"/>
    </xf>
    <xf numFmtId="0" fontId="17" fillId="29" borderId="68" xfId="0" applyFont="1" applyFill="1" applyBorder="1" applyAlignment="1" applyProtection="1">
      <alignment horizontal="center" vertical="center" wrapText="1"/>
      <protection hidden="1"/>
    </xf>
    <xf numFmtId="0" fontId="17" fillId="29" borderId="78" xfId="0" applyFont="1" applyFill="1" applyBorder="1" applyAlignment="1" applyProtection="1">
      <alignment horizontal="center" vertical="center" wrapText="1"/>
      <protection hidden="1"/>
    </xf>
    <xf numFmtId="0" fontId="17" fillId="29" borderId="70" xfId="0" applyFont="1" applyFill="1" applyBorder="1" applyAlignment="1" applyProtection="1">
      <alignment horizontal="center" vertical="center" wrapText="1"/>
      <protection hidden="1"/>
    </xf>
    <xf numFmtId="0" fontId="17" fillId="29" borderId="71" xfId="0" applyFont="1" applyFill="1" applyBorder="1" applyAlignment="1" applyProtection="1">
      <alignment horizontal="center" vertical="center" wrapText="1"/>
      <protection hidden="1"/>
    </xf>
    <xf numFmtId="0" fontId="43" fillId="24" borderId="20" xfId="0" applyFont="1" applyFill="1" applyBorder="1" applyAlignment="1" applyProtection="1">
      <alignment horizontal="left" vertical="top" wrapText="1"/>
      <protection hidden="1"/>
    </xf>
    <xf numFmtId="0" fontId="43" fillId="0" borderId="24" xfId="0" applyFont="1" applyBorder="1" applyAlignment="1" applyProtection="1">
      <alignment horizontal="center" vertical="center" wrapText="1"/>
      <protection hidden="1"/>
    </xf>
    <xf numFmtId="0" fontId="47" fillId="24" borderId="24" xfId="0" applyFont="1" applyFill="1" applyBorder="1" applyAlignment="1" applyProtection="1">
      <alignment horizontal="center" vertical="center" wrapText="1"/>
      <protection hidden="1"/>
    </xf>
    <xf numFmtId="1" fontId="49" fillId="24" borderId="27" xfId="0" applyNumberFormat="1" applyFont="1" applyFill="1" applyBorder="1" applyAlignment="1" applyProtection="1">
      <alignment horizontal="center" vertical="center" wrapText="1"/>
      <protection hidden="1"/>
    </xf>
    <xf numFmtId="0" fontId="39" fillId="24" borderId="26" xfId="0" applyFont="1" applyFill="1" applyBorder="1" applyAlignment="1" applyProtection="1">
      <alignment horizontal="center" vertical="center" wrapText="1"/>
      <protection hidden="1"/>
    </xf>
    <xf numFmtId="2" fontId="50" fillId="24" borderId="27" xfId="0" applyNumberFormat="1" applyFont="1" applyFill="1" applyBorder="1" applyAlignment="1" applyProtection="1">
      <alignment horizontal="center" vertical="center" wrapText="1"/>
      <protection hidden="1"/>
    </xf>
    <xf numFmtId="0" fontId="45" fillId="0" borderId="24" xfId="0" applyFont="1" applyBorder="1" applyAlignment="1" applyProtection="1">
      <alignment horizontal="left" vertical="center" wrapText="1"/>
      <protection hidden="1"/>
    </xf>
    <xf numFmtId="0" fontId="45" fillId="24" borderId="24" xfId="0" applyFont="1" applyFill="1" applyBorder="1" applyAlignment="1" applyProtection="1">
      <alignment horizontal="center" vertical="top" wrapText="1"/>
      <protection hidden="1"/>
    </xf>
    <xf numFmtId="0" fontId="45" fillId="24" borderId="21" xfId="0" applyFont="1" applyFill="1" applyBorder="1" applyAlignment="1" applyProtection="1">
      <alignment horizontal="center" vertical="top" wrapText="1"/>
      <protection hidden="1"/>
    </xf>
    <xf numFmtId="0" fontId="45" fillId="24" borderId="22" xfId="0" applyFont="1" applyFill="1" applyBorder="1" applyAlignment="1" applyProtection="1">
      <alignment horizontal="left" vertical="center" wrapText="1"/>
      <protection hidden="1"/>
    </xf>
    <xf numFmtId="0" fontId="45" fillId="24" borderId="25" xfId="0" applyFont="1" applyFill="1" applyBorder="1" applyAlignment="1" applyProtection="1">
      <alignment horizontal="center" vertical="center" wrapText="1"/>
      <protection hidden="1"/>
    </xf>
    <xf numFmtId="0" fontId="44" fillId="24" borderId="25" xfId="0" applyFont="1" applyFill="1" applyBorder="1" applyAlignment="1" applyProtection="1">
      <alignment horizontal="center" vertical="center" wrapText="1"/>
      <protection hidden="1"/>
    </xf>
    <xf numFmtId="0" fontId="48" fillId="24" borderId="25" xfId="0" applyFont="1" applyFill="1" applyBorder="1" applyAlignment="1" applyProtection="1">
      <alignment horizontal="center" vertical="center" wrapText="1"/>
      <protection hidden="1"/>
    </xf>
    <xf numFmtId="0" fontId="47" fillId="24" borderId="25" xfId="0" applyFont="1" applyFill="1" applyBorder="1" applyAlignment="1" applyProtection="1">
      <alignment horizontal="center" vertical="center" wrapText="1"/>
      <protection hidden="1"/>
    </xf>
    <xf numFmtId="0" fontId="44" fillId="0" borderId="23" xfId="0" applyFont="1" applyBorder="1" applyAlignment="1" applyProtection="1">
      <alignment wrapText="1"/>
      <protection hidden="1"/>
    </xf>
    <xf numFmtId="0" fontId="46" fillId="29" borderId="111" xfId="0" applyFont="1" applyFill="1" applyBorder="1" applyAlignment="1" applyProtection="1">
      <alignment horizontal="left" vertical="center" wrapText="1"/>
      <protection hidden="1"/>
    </xf>
    <xf numFmtId="0" fontId="46" fillId="29" borderId="92" xfId="0" applyFont="1" applyFill="1" applyBorder="1" applyAlignment="1" applyProtection="1">
      <alignment horizontal="center" vertical="center" wrapText="1"/>
      <protection hidden="1"/>
    </xf>
    <xf numFmtId="2" fontId="38" fillId="29" borderId="92" xfId="2" applyNumberFormat="1" applyFont="1" applyFill="1" applyBorder="1" applyAlignment="1" applyProtection="1">
      <alignment horizontal="center" vertical="center" wrapText="1"/>
      <protection hidden="1"/>
    </xf>
    <xf numFmtId="2" fontId="43" fillId="29" borderId="0" xfId="0" applyNumberFormat="1" applyFont="1" applyFill="1" applyAlignment="1" applyProtection="1">
      <alignment horizontal="center" vertical="center" wrapText="1"/>
      <protection hidden="1"/>
    </xf>
    <xf numFmtId="165" fontId="45" fillId="29" borderId="0" xfId="0" applyNumberFormat="1" applyFont="1" applyFill="1" applyAlignment="1" applyProtection="1">
      <alignment horizontal="center" vertical="center" wrapText="1"/>
      <protection hidden="1"/>
    </xf>
    <xf numFmtId="0" fontId="44" fillId="0" borderId="50" xfId="0" applyFont="1" applyBorder="1" applyAlignment="1" applyProtection="1">
      <alignment wrapText="1"/>
      <protection hidden="1"/>
    </xf>
    <xf numFmtId="0" fontId="46" fillId="29" borderId="48" xfId="0" applyFont="1" applyFill="1" applyBorder="1" applyAlignment="1" applyProtection="1">
      <alignment horizontal="left" vertical="top" wrapText="1"/>
      <protection hidden="1"/>
    </xf>
    <xf numFmtId="0" fontId="44" fillId="29" borderId="0" xfId="0" applyFont="1" applyFill="1" applyAlignment="1" applyProtection="1">
      <alignment horizontal="center" vertical="center" wrapText="1"/>
      <protection hidden="1"/>
    </xf>
    <xf numFmtId="0" fontId="43" fillId="0" borderId="0" xfId="2" applyFont="1" applyAlignment="1" applyProtection="1">
      <alignment horizontal="center" vertical="center" wrapText="1"/>
      <protection hidden="1"/>
    </xf>
    <xf numFmtId="2" fontId="44" fillId="29" borderId="0" xfId="0" applyNumberFormat="1" applyFont="1" applyFill="1" applyAlignment="1" applyProtection="1">
      <alignment horizontal="center" vertical="center" wrapText="1"/>
      <protection hidden="1"/>
    </xf>
    <xf numFmtId="2" fontId="44" fillId="29" borderId="0" xfId="0" applyNumberFormat="1" applyFont="1" applyFill="1" applyAlignment="1" applyProtection="1">
      <alignment horizontal="center" vertical="top" wrapText="1"/>
      <protection hidden="1"/>
    </xf>
    <xf numFmtId="0" fontId="44" fillId="29" borderId="0" xfId="0" applyFont="1" applyFill="1" applyAlignment="1" applyProtection="1">
      <alignment horizontal="center" vertical="top" wrapText="1"/>
      <protection hidden="1"/>
    </xf>
    <xf numFmtId="165" fontId="44" fillId="29" borderId="0" xfId="0" applyNumberFormat="1" applyFont="1" applyFill="1" applyAlignment="1" applyProtection="1">
      <alignment horizontal="center" vertical="center" wrapText="1"/>
      <protection hidden="1"/>
    </xf>
    <xf numFmtId="0" fontId="46" fillId="29" borderId="0" xfId="0" applyFont="1" applyFill="1" applyAlignment="1" applyProtection="1">
      <alignment horizontal="center" vertical="center" wrapText="1"/>
      <protection hidden="1"/>
    </xf>
    <xf numFmtId="2" fontId="46" fillId="29" borderId="0" xfId="0" applyNumberFormat="1" applyFont="1" applyFill="1" applyAlignment="1" applyProtection="1">
      <alignment horizontal="center" vertical="center" wrapText="1"/>
      <protection hidden="1"/>
    </xf>
    <xf numFmtId="9" fontId="43" fillId="0" borderId="0" xfId="1" applyFont="1" applyFill="1" applyBorder="1" applyAlignment="1" applyProtection="1">
      <alignment horizontal="center" vertical="center" wrapText="1"/>
      <protection hidden="1"/>
    </xf>
    <xf numFmtId="0" fontId="46" fillId="29" borderId="26" xfId="0" applyFont="1" applyFill="1" applyBorder="1" applyAlignment="1" applyProtection="1">
      <alignment horizontal="left" vertical="top" wrapText="1"/>
      <protection hidden="1"/>
    </xf>
    <xf numFmtId="0" fontId="44" fillId="29" borderId="27" xfId="0" applyFont="1" applyFill="1" applyBorder="1" applyAlignment="1" applyProtection="1">
      <alignment horizontal="center" vertical="center" wrapText="1"/>
      <protection hidden="1"/>
    </xf>
    <xf numFmtId="0" fontId="43" fillId="0" borderId="27" xfId="2" applyFont="1" applyBorder="1" applyAlignment="1" applyProtection="1">
      <alignment horizontal="center" vertical="center" wrapText="1"/>
      <protection hidden="1"/>
    </xf>
    <xf numFmtId="0" fontId="46" fillId="29" borderId="27" xfId="0" applyFont="1" applyFill="1" applyBorder="1" applyAlignment="1" applyProtection="1">
      <alignment horizontal="center" vertical="center" wrapText="1"/>
      <protection hidden="1"/>
    </xf>
    <xf numFmtId="0" fontId="44" fillId="29" borderId="27" xfId="0" applyFont="1" applyFill="1" applyBorder="1" applyAlignment="1" applyProtection="1">
      <alignment horizontal="center" vertical="top" wrapText="1"/>
      <protection hidden="1"/>
    </xf>
    <xf numFmtId="0" fontId="44" fillId="0" borderId="28" xfId="0" applyFont="1" applyBorder="1" applyAlignment="1" applyProtection="1">
      <alignment wrapText="1"/>
      <protection hidden="1"/>
    </xf>
    <xf numFmtId="0" fontId="46" fillId="29" borderId="0" xfId="0" applyFont="1" applyFill="1" applyAlignment="1" applyProtection="1">
      <alignment horizontal="left" vertical="top" wrapText="1"/>
      <protection hidden="1"/>
    </xf>
    <xf numFmtId="0" fontId="43" fillId="29" borderId="0" xfId="0" applyFont="1" applyFill="1" applyAlignment="1" applyProtection="1">
      <alignment horizontal="left" vertical="top" wrapText="1"/>
      <protection hidden="1"/>
    </xf>
    <xf numFmtId="0" fontId="33" fillId="0" borderId="0" xfId="0" applyFont="1" applyAlignment="1" applyProtection="1">
      <alignment vertical="center" wrapText="1"/>
      <protection hidden="1"/>
    </xf>
    <xf numFmtId="0" fontId="33" fillId="0" borderId="80" xfId="0" applyFont="1" applyBorder="1" applyAlignment="1" applyProtection="1">
      <alignment vertical="center" wrapText="1"/>
      <protection hidden="1"/>
    </xf>
    <xf numFmtId="0" fontId="33" fillId="0" borderId="0" xfId="0" applyFont="1" applyAlignment="1" applyProtection="1">
      <alignment horizontal="center" vertical="center" wrapText="1"/>
      <protection hidden="1"/>
    </xf>
    <xf numFmtId="0" fontId="17" fillId="0" borderId="8" xfId="0" applyFont="1" applyBorder="1" applyAlignment="1">
      <alignment vertical="center" wrapText="1"/>
    </xf>
    <xf numFmtId="2" fontId="17" fillId="0" borderId="17" xfId="1" applyNumberFormat="1" applyFont="1" applyBorder="1" applyAlignment="1">
      <alignment horizontal="center" vertical="center"/>
    </xf>
    <xf numFmtId="1" fontId="17" fillId="31" borderId="46" xfId="0" applyNumberFormat="1" applyFont="1" applyFill="1" applyBorder="1" applyAlignment="1" applyProtection="1">
      <alignment horizontal="center" vertical="center"/>
      <protection locked="0"/>
    </xf>
    <xf numFmtId="1" fontId="17" fillId="31" borderId="3" xfId="0" applyNumberFormat="1" applyFont="1" applyFill="1" applyBorder="1" applyAlignment="1" applyProtection="1">
      <alignment horizontal="center" vertical="center"/>
      <protection locked="0"/>
    </xf>
    <xf numFmtId="0" fontId="17" fillId="0" borderId="9" xfId="0" applyFont="1" applyBorder="1" applyAlignment="1">
      <alignment vertical="center" wrapText="1"/>
    </xf>
    <xf numFmtId="2" fontId="17" fillId="0" borderId="18" xfId="1" applyNumberFormat="1" applyFont="1" applyBorder="1" applyAlignment="1">
      <alignment horizontal="center" vertical="center"/>
    </xf>
    <xf numFmtId="1" fontId="17" fillId="31" borderId="43" xfId="0" applyNumberFormat="1" applyFont="1" applyFill="1" applyBorder="1" applyAlignment="1" applyProtection="1">
      <alignment horizontal="center" vertical="center"/>
      <protection locked="0"/>
    </xf>
    <xf numFmtId="1" fontId="17" fillId="31" borderId="5" xfId="0" applyNumberFormat="1" applyFont="1" applyFill="1" applyBorder="1" applyAlignment="1" applyProtection="1">
      <alignment horizontal="center" vertical="center"/>
      <protection locked="0"/>
    </xf>
    <xf numFmtId="0" fontId="17" fillId="0" borderId="10" xfId="0" applyFont="1" applyBorder="1" applyAlignment="1">
      <alignment vertical="center" wrapText="1"/>
    </xf>
    <xf numFmtId="2" fontId="17" fillId="0" borderId="19" xfId="1" applyNumberFormat="1" applyFont="1" applyBorder="1" applyAlignment="1">
      <alignment horizontal="center" vertical="center"/>
    </xf>
    <xf numFmtId="1" fontId="17" fillId="31" borderId="47" xfId="0" applyNumberFormat="1" applyFont="1" applyFill="1" applyBorder="1" applyAlignment="1" applyProtection="1">
      <alignment horizontal="center" vertical="center"/>
      <protection locked="0"/>
    </xf>
    <xf numFmtId="1" fontId="17" fillId="31" borderId="7" xfId="0" applyNumberFormat="1" applyFont="1" applyFill="1" applyBorder="1" applyAlignment="1" applyProtection="1">
      <alignment horizontal="center" vertical="center"/>
      <protection locked="0"/>
    </xf>
    <xf numFmtId="0" fontId="17" fillId="0" borderId="32" xfId="0" applyFont="1" applyBorder="1" applyAlignment="1">
      <alignment horizontal="center" vertical="center" wrapText="1"/>
    </xf>
    <xf numFmtId="2" fontId="17" fillId="0" borderId="32" xfId="0" applyNumberFormat="1" applyFont="1" applyBorder="1" applyAlignment="1">
      <alignment horizontal="center" vertical="center"/>
    </xf>
    <xf numFmtId="0" fontId="17" fillId="50" borderId="32" xfId="0" applyFont="1" applyFill="1" applyBorder="1" applyAlignment="1">
      <alignment horizontal="center" vertical="center"/>
    </xf>
    <xf numFmtId="0" fontId="17" fillId="42" borderId="6" xfId="0" applyFont="1" applyFill="1" applyBorder="1" applyAlignment="1" applyProtection="1">
      <alignment horizontal="center" vertical="center" wrapText="1"/>
      <protection locked="0"/>
    </xf>
    <xf numFmtId="0" fontId="17" fillId="31" borderId="72" xfId="0" applyFont="1" applyFill="1" applyBorder="1" applyAlignment="1" applyProtection="1">
      <alignment horizontal="center" vertical="center" wrapText="1"/>
      <protection locked="0"/>
    </xf>
    <xf numFmtId="0" fontId="17" fillId="32" borderId="72" xfId="0" applyFont="1" applyFill="1" applyBorder="1" applyAlignment="1" applyProtection="1">
      <alignment horizontal="center" vertical="center" wrapText="1"/>
      <protection locked="0"/>
    </xf>
    <xf numFmtId="0" fontId="17" fillId="50" borderId="38" xfId="0" applyFont="1" applyFill="1" applyBorder="1" applyAlignment="1">
      <alignment horizontal="center" vertical="center"/>
    </xf>
    <xf numFmtId="0" fontId="47" fillId="15" borderId="32" xfId="0" applyFont="1" applyFill="1" applyBorder="1" applyAlignment="1">
      <alignment horizontal="center" vertical="center" wrapText="1"/>
    </xf>
    <xf numFmtId="0" fontId="47" fillId="27" borderId="24" xfId="0" applyFont="1" applyFill="1" applyBorder="1" applyAlignment="1">
      <alignment horizontal="center" vertical="center" wrapText="1"/>
    </xf>
    <xf numFmtId="0" fontId="47" fillId="27" borderId="32" xfId="0" applyFont="1" applyFill="1" applyBorder="1" applyAlignment="1">
      <alignment horizontal="center" vertical="center" wrapText="1"/>
    </xf>
    <xf numFmtId="2" fontId="17" fillId="0" borderId="0" xfId="0" applyNumberFormat="1" applyFont="1" applyAlignment="1">
      <alignment horizontal="center" vertical="center" wrapText="1"/>
    </xf>
    <xf numFmtId="0" fontId="17" fillId="34" borderId="0" xfId="0" applyFont="1" applyFill="1" applyAlignment="1" applyProtection="1">
      <alignment horizontal="center" vertical="center" wrapText="1"/>
      <protection locked="0"/>
    </xf>
    <xf numFmtId="0" fontId="17" fillId="0" borderId="48" xfId="0" applyFont="1" applyBorder="1"/>
    <xf numFmtId="0" fontId="17" fillId="24" borderId="0" xfId="0" applyFont="1" applyFill="1" applyAlignment="1">
      <alignment vertical="center"/>
    </xf>
    <xf numFmtId="0" fontId="17" fillId="0" borderId="50" xfId="0" applyFont="1" applyBorder="1"/>
    <xf numFmtId="0" fontId="11" fillId="24" borderId="104" xfId="0" applyFont="1" applyFill="1" applyBorder="1" applyAlignment="1" applyProtection="1">
      <alignment horizontal="center" vertical="center"/>
      <protection locked="0"/>
    </xf>
    <xf numFmtId="0" fontId="17" fillId="24" borderId="105" xfId="0" applyFont="1" applyFill="1" applyBorder="1" applyAlignment="1" applyProtection="1">
      <alignment horizontal="center" vertical="center" wrapText="1"/>
      <protection locked="0"/>
    </xf>
    <xf numFmtId="0" fontId="17" fillId="24" borderId="32" xfId="0" applyFont="1" applyFill="1" applyBorder="1" applyAlignment="1" applyProtection="1">
      <alignment horizontal="center" vertical="center"/>
      <protection locked="0"/>
    </xf>
    <xf numFmtId="0" fontId="53" fillId="24" borderId="108" xfId="4" applyFont="1" applyFill="1" applyBorder="1" applyAlignment="1" applyProtection="1">
      <alignment horizontal="center" vertical="center"/>
      <protection locked="0"/>
    </xf>
    <xf numFmtId="14" fontId="11" fillId="24" borderId="110" xfId="0" applyNumberFormat="1" applyFont="1" applyFill="1" applyBorder="1" applyAlignment="1" applyProtection="1">
      <alignment horizontal="center" vertical="center"/>
      <protection locked="0"/>
    </xf>
    <xf numFmtId="14" fontId="11" fillId="24" borderId="0" xfId="0" applyNumberFormat="1" applyFont="1" applyFill="1" applyAlignment="1">
      <alignment horizontal="center" vertical="center"/>
    </xf>
    <xf numFmtId="0" fontId="17" fillId="0" borderId="26" xfId="0" applyFont="1" applyBorder="1"/>
    <xf numFmtId="0" fontId="17" fillId="24" borderId="27" xfId="0" applyFont="1" applyFill="1" applyBorder="1" applyAlignment="1">
      <alignment vertical="center"/>
    </xf>
    <xf numFmtId="0" fontId="17" fillId="0" borderId="28" xfId="0" applyFont="1" applyBorder="1"/>
    <xf numFmtId="2" fontId="46" fillId="30" borderId="20" xfId="0" applyNumberFormat="1" applyFont="1" applyFill="1" applyBorder="1" applyAlignment="1" applyProtection="1">
      <alignment horizontal="center" vertical="center" wrapText="1"/>
      <protection hidden="1"/>
    </xf>
    <xf numFmtId="2" fontId="46" fillId="30" borderId="32" xfId="0" applyNumberFormat="1" applyFont="1" applyFill="1" applyBorder="1" applyAlignment="1" applyProtection="1">
      <alignment horizontal="center" vertical="center" wrapText="1"/>
      <protection hidden="1"/>
    </xf>
    <xf numFmtId="2" fontId="54" fillId="30" borderId="25" xfId="0" applyNumberFormat="1" applyFont="1" applyFill="1" applyBorder="1" applyAlignment="1" applyProtection="1">
      <alignment horizontal="center" vertical="center" wrapText="1"/>
      <protection hidden="1"/>
    </xf>
    <xf numFmtId="0" fontId="46" fillId="0" borderId="32" xfId="0" applyFont="1" applyBorder="1" applyAlignment="1" applyProtection="1">
      <alignment horizontal="center" vertical="center" wrapText="1"/>
      <protection hidden="1"/>
    </xf>
    <xf numFmtId="2" fontId="55" fillId="24" borderId="23" xfId="0" applyNumberFormat="1" applyFont="1" applyFill="1" applyBorder="1" applyAlignment="1" applyProtection="1">
      <alignment horizontal="center" vertical="center" wrapText="1"/>
      <protection hidden="1"/>
    </xf>
    <xf numFmtId="9" fontId="17" fillId="24" borderId="23" xfId="0" applyNumberFormat="1" applyFont="1" applyFill="1" applyBorder="1" applyAlignment="1" applyProtection="1">
      <alignment horizontal="center" vertical="center" wrapText="1"/>
      <protection hidden="1"/>
    </xf>
    <xf numFmtId="2" fontId="56" fillId="24" borderId="23" xfId="0" applyNumberFormat="1" applyFont="1" applyFill="1" applyBorder="1" applyAlignment="1" applyProtection="1">
      <alignment horizontal="center" vertical="center" wrapText="1"/>
      <protection hidden="1"/>
    </xf>
    <xf numFmtId="0" fontId="46" fillId="34" borderId="73" xfId="0" applyFont="1" applyFill="1" applyBorder="1" applyAlignment="1" applyProtection="1">
      <alignment horizontal="center" vertical="center" wrapText="1"/>
      <protection hidden="1"/>
    </xf>
    <xf numFmtId="0" fontId="46" fillId="35" borderId="74" xfId="0" applyFont="1" applyFill="1" applyBorder="1" applyAlignment="1" applyProtection="1">
      <alignment horizontal="center" vertical="center" wrapText="1"/>
      <protection hidden="1"/>
    </xf>
    <xf numFmtId="0" fontId="46" fillId="36" borderId="74" xfId="0" applyFont="1" applyFill="1" applyBorder="1" applyAlignment="1" applyProtection="1">
      <alignment horizontal="center" vertical="center" wrapText="1"/>
      <protection hidden="1"/>
    </xf>
    <xf numFmtId="0" fontId="47" fillId="37" borderId="74" xfId="0" applyFont="1" applyFill="1" applyBorder="1" applyAlignment="1" applyProtection="1">
      <alignment horizontal="center" vertical="center" wrapText="1"/>
      <protection hidden="1"/>
    </xf>
    <xf numFmtId="0" fontId="47" fillId="38" borderId="75" xfId="0" applyFont="1" applyFill="1" applyBorder="1" applyAlignment="1" applyProtection="1">
      <alignment horizontal="center" vertical="center" wrapText="1"/>
      <protection hidden="1"/>
    </xf>
    <xf numFmtId="0" fontId="46" fillId="0" borderId="0" xfId="0" applyFont="1" applyAlignment="1" applyProtection="1">
      <alignment horizontal="center" vertical="center" wrapText="1"/>
      <protection hidden="1"/>
    </xf>
    <xf numFmtId="9" fontId="17" fillId="24" borderId="29" xfId="0" applyNumberFormat="1" applyFont="1" applyFill="1" applyBorder="1" applyAlignment="1" applyProtection="1">
      <alignment horizontal="center" vertical="center" wrapText="1"/>
      <protection hidden="1"/>
    </xf>
    <xf numFmtId="2" fontId="50" fillId="24" borderId="23" xfId="0" applyNumberFormat="1" applyFont="1" applyFill="1" applyBorder="1" applyAlignment="1" applyProtection="1">
      <alignment horizontal="center" vertical="center" wrapText="1"/>
      <protection hidden="1"/>
    </xf>
    <xf numFmtId="0" fontId="46" fillId="34" borderId="83" xfId="0" applyFont="1" applyFill="1" applyBorder="1" applyAlignment="1" applyProtection="1">
      <alignment horizontal="center" vertical="center" wrapText="1"/>
      <protection hidden="1"/>
    </xf>
    <xf numFmtId="2" fontId="43" fillId="30" borderId="20" xfId="0" applyNumberFormat="1" applyFont="1" applyFill="1" applyBorder="1" applyAlignment="1" applyProtection="1">
      <alignment horizontal="center" vertical="center" wrapText="1"/>
      <protection hidden="1"/>
    </xf>
    <xf numFmtId="0" fontId="46" fillId="30" borderId="20" xfId="0" applyFont="1" applyFill="1" applyBorder="1" applyAlignment="1" applyProtection="1">
      <alignment horizontal="center" vertical="center" wrapText="1"/>
      <protection hidden="1"/>
    </xf>
    <xf numFmtId="0" fontId="57" fillId="29" borderId="27" xfId="0" applyFont="1" applyFill="1" applyBorder="1" applyAlignment="1" applyProtection="1">
      <alignment horizontal="center" vertical="center" wrapText="1"/>
      <protection hidden="1"/>
    </xf>
    <xf numFmtId="2" fontId="58" fillId="0" borderId="21" xfId="0" applyNumberFormat="1" applyFont="1" applyBorder="1" applyAlignment="1" applyProtection="1">
      <alignment horizontal="center" vertical="center" wrapText="1"/>
      <protection hidden="1"/>
    </xf>
    <xf numFmtId="0" fontId="59" fillId="24" borderId="66" xfId="0" applyFont="1" applyFill="1" applyBorder="1" applyAlignment="1" applyProtection="1">
      <alignment horizontal="left" vertical="center" wrapText="1"/>
      <protection locked="0" hidden="1"/>
    </xf>
    <xf numFmtId="0" fontId="59" fillId="24" borderId="68" xfId="0" applyFont="1" applyFill="1" applyBorder="1" applyAlignment="1" applyProtection="1">
      <alignment horizontal="left" vertical="center" wrapText="1"/>
      <protection locked="0" hidden="1"/>
    </xf>
    <xf numFmtId="0" fontId="59" fillId="24" borderId="71" xfId="0" applyFont="1" applyFill="1" applyBorder="1" applyAlignment="1" applyProtection="1">
      <alignment horizontal="left" vertical="center" wrapText="1"/>
      <protection locked="0" hidden="1"/>
    </xf>
    <xf numFmtId="0" fontId="24" fillId="24" borderId="0" xfId="0" applyFont="1" applyFill="1" applyAlignment="1" applyProtection="1">
      <alignment vertical="center" wrapText="1"/>
      <protection hidden="1"/>
    </xf>
    <xf numFmtId="0" fontId="57" fillId="0" borderId="0" xfId="0" applyFont="1" applyAlignment="1" applyProtection="1">
      <alignment horizontal="center" vertical="center" wrapText="1"/>
      <protection hidden="1"/>
    </xf>
    <xf numFmtId="2" fontId="58" fillId="0" borderId="32" xfId="0" applyNumberFormat="1" applyFont="1" applyBorder="1" applyAlignment="1" applyProtection="1">
      <alignment horizontal="center" vertical="center" wrapText="1"/>
      <protection hidden="1"/>
    </xf>
    <xf numFmtId="0" fontId="60" fillId="24" borderId="17" xfId="0" applyFont="1" applyFill="1" applyBorder="1" applyAlignment="1" applyProtection="1">
      <alignment horizontal="center" vertical="center" wrapText="1"/>
      <protection locked="0" hidden="1"/>
    </xf>
    <xf numFmtId="0" fontId="60" fillId="24" borderId="101" xfId="0" applyFont="1" applyFill="1" applyBorder="1" applyAlignment="1" applyProtection="1">
      <alignment horizontal="center" vertical="center" wrapText="1"/>
      <protection locked="0" hidden="1"/>
    </xf>
    <xf numFmtId="0" fontId="60" fillId="0" borderId="17" xfId="0" applyFont="1" applyBorder="1" applyAlignment="1" applyProtection="1">
      <alignment horizontal="left" vertical="center" wrapText="1"/>
      <protection locked="0" hidden="1"/>
    </xf>
    <xf numFmtId="0" fontId="60" fillId="0" borderId="18" xfId="0" applyFont="1" applyBorder="1" applyAlignment="1" applyProtection="1">
      <alignment horizontal="left" vertical="center" wrapText="1"/>
      <protection locked="0" hidden="1"/>
    </xf>
    <xf numFmtId="0" fontId="60" fillId="0" borderId="19" xfId="0" applyFont="1" applyBorder="1" applyAlignment="1" applyProtection="1">
      <alignment horizontal="left" vertical="center" wrapText="1"/>
      <protection locked="0" hidden="1"/>
    </xf>
    <xf numFmtId="0" fontId="61" fillId="0" borderId="31" xfId="0" applyFont="1" applyBorder="1" applyAlignment="1" applyProtection="1">
      <alignment horizontal="center" vertical="center" wrapText="1"/>
      <protection hidden="1"/>
    </xf>
    <xf numFmtId="9" fontId="60" fillId="0" borderId="19" xfId="0" applyNumberFormat="1" applyFont="1" applyBorder="1" applyAlignment="1" applyProtection="1">
      <alignment horizontal="center" vertical="center" wrapText="1"/>
      <protection locked="0" hidden="1"/>
    </xf>
    <xf numFmtId="0" fontId="60" fillId="24" borderId="29" xfId="0" applyFont="1" applyFill="1" applyBorder="1" applyAlignment="1" applyProtection="1">
      <alignment horizontal="center" vertical="center" wrapText="1"/>
      <protection locked="0" hidden="1"/>
    </xf>
    <xf numFmtId="0" fontId="60" fillId="0" borderId="31" xfId="0" applyFont="1" applyBorder="1" applyAlignment="1" applyProtection="1">
      <alignment horizontal="center" vertical="center" wrapText="1"/>
      <protection hidden="1"/>
    </xf>
    <xf numFmtId="0" fontId="62" fillId="0" borderId="24" xfId="0" applyFont="1" applyBorder="1" applyAlignment="1" applyProtection="1">
      <alignment horizontal="center" vertical="center" wrapText="1"/>
      <protection hidden="1"/>
    </xf>
    <xf numFmtId="0" fontId="60" fillId="0" borderId="25" xfId="0" applyFont="1" applyBorder="1" applyAlignment="1" applyProtection="1">
      <alignment horizontal="center" vertical="center" wrapText="1"/>
      <protection hidden="1"/>
    </xf>
    <xf numFmtId="2" fontId="63" fillId="0" borderId="0" xfId="2" applyNumberFormat="1" applyFont="1" applyAlignment="1" applyProtection="1">
      <alignment horizontal="center" vertical="center" wrapText="1"/>
      <protection hidden="1"/>
    </xf>
    <xf numFmtId="2" fontId="57" fillId="0" borderId="0" xfId="2" applyNumberFormat="1" applyFont="1" applyAlignment="1" applyProtection="1">
      <alignment horizontal="center" vertical="center" wrapText="1"/>
      <protection hidden="1"/>
    </xf>
    <xf numFmtId="2" fontId="24" fillId="0" borderId="0" xfId="0" applyNumberFormat="1" applyFont="1" applyAlignment="1" applyProtection="1">
      <alignment horizontal="center" vertical="center" wrapText="1"/>
      <protection hidden="1"/>
    </xf>
    <xf numFmtId="0" fontId="57" fillId="0" borderId="0" xfId="2" applyFont="1" applyAlignment="1" applyProtection="1">
      <alignment horizontal="center" vertical="center" wrapText="1"/>
      <protection hidden="1"/>
    </xf>
    <xf numFmtId="0" fontId="57" fillId="0" borderId="27" xfId="2" applyFont="1" applyBorder="1" applyAlignment="1" applyProtection="1">
      <alignment horizontal="center" vertical="center" wrapText="1"/>
      <protection hidden="1"/>
    </xf>
    <xf numFmtId="0" fontId="59" fillId="29" borderId="0" xfId="0" applyFont="1" applyFill="1" applyAlignment="1" applyProtection="1">
      <alignment horizontal="center" vertical="top" wrapText="1"/>
      <protection hidden="1"/>
    </xf>
    <xf numFmtId="0" fontId="60" fillId="29" borderId="0" xfId="0" applyFont="1" applyFill="1" applyAlignment="1" applyProtection="1">
      <alignment horizontal="center" vertical="top" wrapText="1"/>
      <protection hidden="1"/>
    </xf>
    <xf numFmtId="0" fontId="57" fillId="29" borderId="0" xfId="0" applyFont="1" applyFill="1" applyAlignment="1" applyProtection="1">
      <alignment horizontal="center" vertical="center" wrapText="1"/>
      <protection hidden="1"/>
    </xf>
    <xf numFmtId="0" fontId="17" fillId="0" borderId="0" xfId="0" applyFont="1" applyAlignment="1">
      <alignment horizontal="center" vertical="center"/>
    </xf>
    <xf numFmtId="0" fontId="11" fillId="28" borderId="32" xfId="0" applyFont="1" applyFill="1" applyBorder="1" applyAlignment="1">
      <alignment horizontal="center" vertical="center"/>
    </xf>
    <xf numFmtId="0" fontId="17" fillId="28" borderId="20" xfId="0" applyFont="1" applyFill="1" applyBorder="1" applyAlignment="1">
      <alignment horizontal="center" vertical="center" wrapText="1"/>
    </xf>
    <xf numFmtId="0" fontId="17" fillId="46" borderId="20" xfId="0" applyFont="1" applyFill="1" applyBorder="1" applyAlignment="1">
      <alignment horizontal="left" vertical="center" wrapText="1"/>
    </xf>
    <xf numFmtId="0" fontId="17" fillId="28" borderId="48" xfId="0" applyFont="1" applyFill="1" applyBorder="1" applyAlignment="1">
      <alignment horizontal="center" vertical="center" wrapText="1"/>
    </xf>
    <xf numFmtId="0" fontId="17" fillId="46" borderId="48" xfId="0" applyFont="1" applyFill="1" applyBorder="1" applyAlignment="1">
      <alignment horizontal="left" vertical="center" wrapText="1"/>
    </xf>
    <xf numFmtId="2" fontId="38" fillId="22" borderId="41" xfId="0" applyNumberFormat="1" applyFont="1" applyFill="1" applyBorder="1" applyAlignment="1">
      <alignment horizontal="center" vertical="center" wrapText="1"/>
    </xf>
    <xf numFmtId="0" fontId="17" fillId="0" borderId="27" xfId="0" applyFont="1" applyBorder="1"/>
    <xf numFmtId="0" fontId="17" fillId="0" borderId="27" xfId="0" applyFont="1" applyBorder="1" applyAlignment="1">
      <alignment horizontal="center" vertical="center"/>
    </xf>
    <xf numFmtId="0" fontId="17" fillId="0" borderId="48" xfId="0" applyFont="1" applyBorder="1" applyAlignment="1">
      <alignment horizontal="left" vertical="center" wrapText="1"/>
    </xf>
    <xf numFmtId="0" fontId="17" fillId="0" borderId="0" xfId="0" applyFont="1" applyAlignment="1">
      <alignment horizontal="center" vertical="center" wrapText="1"/>
    </xf>
    <xf numFmtId="0" fontId="17" fillId="0" borderId="50" xfId="0" applyFont="1" applyBorder="1" applyAlignment="1">
      <alignment horizontal="center" vertical="center" wrapText="1"/>
    </xf>
    <xf numFmtId="0" fontId="17" fillId="0" borderId="30" xfId="0" applyFont="1" applyBorder="1" applyAlignment="1">
      <alignment horizontal="center" vertical="center" wrapText="1"/>
    </xf>
    <xf numFmtId="0" fontId="17" fillId="0" borderId="8" xfId="0" applyFont="1" applyBorder="1" applyAlignment="1">
      <alignment horizontal="left" vertical="center" wrapText="1"/>
    </xf>
    <xf numFmtId="9" fontId="17" fillId="0" borderId="17" xfId="0" applyNumberFormat="1" applyFont="1" applyBorder="1" applyAlignment="1">
      <alignment horizontal="center" vertical="center" wrapText="1"/>
    </xf>
    <xf numFmtId="0" fontId="17" fillId="42" borderId="31" xfId="0" applyFont="1" applyFill="1" applyBorder="1" applyAlignment="1" applyProtection="1">
      <alignment horizontal="center" vertical="center" wrapText="1"/>
      <protection locked="0"/>
    </xf>
    <xf numFmtId="0" fontId="17" fillId="31" borderId="27" xfId="0" applyFont="1" applyFill="1" applyBorder="1" applyAlignment="1" applyProtection="1">
      <alignment horizontal="center" vertical="center" wrapText="1"/>
      <protection locked="0"/>
    </xf>
    <xf numFmtId="0" fontId="17" fillId="32" borderId="17" xfId="0" applyFont="1" applyFill="1" applyBorder="1" applyAlignment="1" applyProtection="1">
      <alignment horizontal="center" vertical="center" wrapText="1"/>
      <protection locked="0"/>
    </xf>
    <xf numFmtId="9" fontId="17" fillId="0" borderId="17" xfId="1" applyFont="1" applyBorder="1" applyAlignment="1" applyProtection="1">
      <alignment horizontal="center" vertical="center" wrapText="1"/>
    </xf>
    <xf numFmtId="0" fontId="17" fillId="0" borderId="100" xfId="0" applyFont="1" applyBorder="1" applyAlignment="1">
      <alignment horizontal="left" vertical="center" wrapText="1"/>
    </xf>
    <xf numFmtId="9" fontId="17" fillId="0" borderId="18" xfId="0" applyNumberFormat="1" applyFont="1" applyBorder="1" applyAlignment="1">
      <alignment horizontal="center" vertical="center" wrapText="1"/>
    </xf>
    <xf numFmtId="0" fontId="17" fillId="32" borderId="99" xfId="0" applyFont="1" applyFill="1" applyBorder="1" applyAlignment="1" applyProtection="1">
      <alignment horizontal="center" vertical="center" wrapText="1"/>
      <protection locked="0"/>
    </xf>
    <xf numFmtId="9" fontId="17" fillId="0" borderId="18" xfId="1" applyFont="1" applyBorder="1" applyAlignment="1" applyProtection="1">
      <alignment horizontal="center" vertical="center" wrapText="1"/>
    </xf>
    <xf numFmtId="0" fontId="17" fillId="0" borderId="9" xfId="0" applyFont="1" applyBorder="1" applyAlignment="1">
      <alignment horizontal="left" vertical="center" wrapText="1"/>
    </xf>
    <xf numFmtId="0" fontId="17" fillId="0" borderId="10" xfId="0" applyFont="1" applyBorder="1" applyAlignment="1">
      <alignment horizontal="left" vertical="center" wrapText="1"/>
    </xf>
    <xf numFmtId="9" fontId="17" fillId="0" borderId="19" xfId="0" applyNumberFormat="1" applyFont="1" applyBorder="1" applyAlignment="1">
      <alignment horizontal="center" vertical="center" wrapText="1"/>
    </xf>
    <xf numFmtId="0" fontId="17" fillId="32" borderId="31" xfId="0" applyFont="1" applyFill="1" applyBorder="1" applyAlignment="1" applyProtection="1">
      <alignment horizontal="center" vertical="center" wrapText="1"/>
      <protection locked="0"/>
    </xf>
    <xf numFmtId="9" fontId="17" fillId="0" borderId="19" xfId="1" applyFont="1" applyBorder="1" applyAlignment="1" applyProtection="1">
      <alignment horizontal="center" vertical="center" wrapText="1"/>
    </xf>
    <xf numFmtId="0" fontId="17" fillId="0" borderId="0" xfId="0" applyFont="1" applyAlignment="1">
      <alignment vertical="center" wrapText="1"/>
    </xf>
    <xf numFmtId="0" fontId="47" fillId="7" borderId="32" xfId="0" applyFont="1" applyFill="1" applyBorder="1" applyAlignment="1">
      <alignment horizontal="left" vertical="center" wrapText="1"/>
    </xf>
    <xf numFmtId="0" fontId="17" fillId="0" borderId="0" xfId="0" applyFont="1" applyAlignment="1">
      <alignment horizontal="left" vertical="center" wrapText="1"/>
    </xf>
    <xf numFmtId="0" fontId="0" fillId="34" borderId="0" xfId="0" applyFill="1" applyAlignment="1">
      <alignment wrapText="1"/>
    </xf>
    <xf numFmtId="0" fontId="16" fillId="44" borderId="20" xfId="0" applyFont="1" applyFill="1" applyBorder="1" applyAlignment="1">
      <alignment horizontal="center" vertical="center" wrapText="1"/>
    </xf>
    <xf numFmtId="0" fontId="16" fillId="44" borderId="24" xfId="0" applyFont="1" applyFill="1" applyBorder="1" applyAlignment="1">
      <alignment horizontal="center" vertical="center" wrapText="1"/>
    </xf>
    <xf numFmtId="0" fontId="16" fillId="44" borderId="21" xfId="0" applyFont="1" applyFill="1" applyBorder="1" applyAlignment="1">
      <alignment horizontal="center" vertical="center" wrapText="1"/>
    </xf>
    <xf numFmtId="0" fontId="17" fillId="17" borderId="42" xfId="0" applyFont="1" applyFill="1" applyBorder="1" applyAlignment="1" applyProtection="1">
      <alignment horizontal="left" vertical="center" wrapText="1" indent="1"/>
      <protection locked="0"/>
    </xf>
    <xf numFmtId="0" fontId="17" fillId="17" borderId="61" xfId="0" applyFont="1" applyFill="1" applyBorder="1" applyAlignment="1" applyProtection="1">
      <alignment horizontal="left" vertical="center" wrapText="1" indent="1"/>
      <protection locked="0"/>
    </xf>
    <xf numFmtId="0" fontId="17" fillId="17" borderId="43" xfId="0" applyFont="1" applyFill="1" applyBorder="1" applyAlignment="1" applyProtection="1">
      <alignment horizontal="left" vertical="center" indent="1"/>
      <protection locked="0"/>
    </xf>
    <xf numFmtId="0" fontId="11" fillId="45" borderId="42" xfId="0" applyFont="1" applyFill="1" applyBorder="1" applyAlignment="1">
      <alignment horizontal="center" vertical="center"/>
    </xf>
    <xf numFmtId="0" fontId="11" fillId="45" borderId="61" xfId="0" applyFont="1" applyFill="1" applyBorder="1" applyAlignment="1">
      <alignment horizontal="center" vertical="center"/>
    </xf>
    <xf numFmtId="0" fontId="11" fillId="45" borderId="43" xfId="0" applyFont="1" applyFill="1" applyBorder="1" applyAlignment="1">
      <alignment horizontal="center" vertical="center"/>
    </xf>
    <xf numFmtId="0" fontId="11" fillId="18" borderId="22" xfId="0" applyFont="1" applyFill="1" applyBorder="1" applyAlignment="1">
      <alignment horizontal="center" vertical="center"/>
    </xf>
    <xf numFmtId="0" fontId="11" fillId="18" borderId="25" xfId="0" applyFont="1" applyFill="1" applyBorder="1" applyAlignment="1">
      <alignment horizontal="center" vertical="center"/>
    </xf>
    <xf numFmtId="0" fontId="11" fillId="18" borderId="26" xfId="0" applyFont="1" applyFill="1" applyBorder="1" applyAlignment="1">
      <alignment horizontal="center" vertical="center"/>
    </xf>
    <xf numFmtId="0" fontId="11" fillId="18" borderId="27" xfId="0" applyFont="1" applyFill="1" applyBorder="1" applyAlignment="1">
      <alignment horizontal="center" vertical="center"/>
    </xf>
    <xf numFmtId="0" fontId="17" fillId="17" borderId="20" xfId="0" applyFont="1" applyFill="1" applyBorder="1" applyAlignment="1">
      <alignment horizontal="center" vertical="center" wrapText="1"/>
    </xf>
    <xf numFmtId="0" fontId="17" fillId="17" borderId="21" xfId="0" applyFont="1" applyFill="1" applyBorder="1" applyAlignment="1">
      <alignment horizontal="center" vertical="center" wrapText="1"/>
    </xf>
    <xf numFmtId="0" fontId="17" fillId="18" borderId="22" xfId="0" applyFont="1" applyFill="1" applyBorder="1" applyAlignment="1">
      <alignment horizontal="center" vertical="center"/>
    </xf>
    <xf numFmtId="0" fontId="17" fillId="18" borderId="106" xfId="0" applyFont="1" applyFill="1" applyBorder="1" applyAlignment="1">
      <alignment horizontal="center" vertical="center"/>
    </xf>
    <xf numFmtId="0" fontId="17" fillId="18" borderId="26" xfId="0" applyFont="1" applyFill="1" applyBorder="1" applyAlignment="1">
      <alignment horizontal="center" vertical="center"/>
    </xf>
    <xf numFmtId="0" fontId="17" fillId="18" borderId="107" xfId="0" applyFont="1" applyFill="1" applyBorder="1" applyAlignment="1">
      <alignment horizontal="center" vertical="center"/>
    </xf>
    <xf numFmtId="0" fontId="17" fillId="18" borderId="20" xfId="0" applyFont="1" applyFill="1" applyBorder="1" applyAlignment="1">
      <alignment horizontal="center" vertical="center"/>
    </xf>
    <xf numFmtId="0" fontId="17" fillId="18" borderId="109" xfId="0" applyFont="1" applyFill="1" applyBorder="1" applyAlignment="1">
      <alignment horizontal="center" vertical="center"/>
    </xf>
    <xf numFmtId="0" fontId="44" fillId="31" borderId="10" xfId="0" applyFont="1" applyFill="1" applyBorder="1" applyAlignment="1" applyProtection="1">
      <alignment horizontal="left" vertical="center" wrapText="1"/>
      <protection hidden="1"/>
    </xf>
    <xf numFmtId="0" fontId="44" fillId="31" borderId="78" xfId="0" applyFont="1" applyFill="1" applyBorder="1" applyAlignment="1" applyProtection="1">
      <alignment horizontal="left" vertical="center" wrapText="1"/>
      <protection hidden="1"/>
    </xf>
    <xf numFmtId="0" fontId="44" fillId="31" borderId="9" xfId="0" applyFont="1" applyFill="1" applyBorder="1" applyAlignment="1" applyProtection="1">
      <alignment horizontal="left" vertical="center" wrapText="1"/>
      <protection hidden="1"/>
    </xf>
    <xf numFmtId="0" fontId="44" fillId="31" borderId="69" xfId="0" applyFont="1" applyFill="1" applyBorder="1" applyAlignment="1" applyProtection="1">
      <alignment horizontal="left" vertical="center" wrapText="1"/>
      <protection hidden="1"/>
    </xf>
    <xf numFmtId="0" fontId="44" fillId="31" borderId="8" xfId="0" applyFont="1" applyFill="1" applyBorder="1" applyAlignment="1" applyProtection="1">
      <alignment horizontal="left" vertical="center" wrapText="1"/>
      <protection hidden="1"/>
    </xf>
    <xf numFmtId="0" fontId="44" fillId="31" borderId="77" xfId="0" applyFont="1" applyFill="1" applyBorder="1" applyAlignment="1" applyProtection="1">
      <alignment horizontal="left" vertical="center" wrapText="1"/>
      <protection hidden="1"/>
    </xf>
    <xf numFmtId="0" fontId="17" fillId="31" borderId="9" xfId="0" applyFont="1" applyFill="1" applyBorder="1" applyAlignment="1" applyProtection="1">
      <alignment horizontal="left" vertical="center" wrapText="1"/>
      <protection hidden="1"/>
    </xf>
    <xf numFmtId="0" fontId="17" fillId="31" borderId="69" xfId="0" applyFont="1" applyFill="1" applyBorder="1" applyAlignment="1" applyProtection="1">
      <alignment horizontal="left" vertical="center" wrapText="1"/>
      <protection hidden="1"/>
    </xf>
    <xf numFmtId="0" fontId="45" fillId="24" borderId="0" xfId="0" applyFont="1" applyFill="1" applyAlignment="1" applyProtection="1">
      <alignment horizontal="left" vertical="center" wrapText="1"/>
      <protection hidden="1"/>
    </xf>
    <xf numFmtId="0" fontId="32" fillId="21" borderId="20" xfId="0" applyFont="1" applyFill="1" applyBorder="1" applyAlignment="1" applyProtection="1">
      <alignment horizontal="center" vertical="center" wrapText="1"/>
      <protection hidden="1"/>
    </xf>
    <xf numFmtId="0" fontId="32" fillId="21" borderId="24" xfId="0" applyFont="1" applyFill="1" applyBorder="1" applyAlignment="1" applyProtection="1">
      <alignment horizontal="center" vertical="center" wrapText="1"/>
      <protection hidden="1"/>
    </xf>
    <xf numFmtId="0" fontId="32" fillId="21" borderId="21" xfId="0" applyFont="1" applyFill="1" applyBorder="1" applyAlignment="1" applyProtection="1">
      <alignment horizontal="center" vertical="center" wrapText="1"/>
      <protection hidden="1"/>
    </xf>
    <xf numFmtId="2" fontId="46" fillId="30" borderId="20" xfId="0" applyNumberFormat="1" applyFont="1" applyFill="1" applyBorder="1" applyAlignment="1" applyProtection="1">
      <alignment horizontal="center" vertical="center" wrapText="1"/>
      <protection hidden="1"/>
    </xf>
    <xf numFmtId="2" fontId="46" fillId="30" borderId="24" xfId="0" applyNumberFormat="1" applyFont="1" applyFill="1" applyBorder="1" applyAlignment="1" applyProtection="1">
      <alignment horizontal="center" vertical="center" wrapText="1"/>
      <protection hidden="1"/>
    </xf>
    <xf numFmtId="0" fontId="21" fillId="13" borderId="20" xfId="3" applyFont="1" applyFill="1" applyBorder="1" applyAlignment="1" applyProtection="1">
      <alignment horizontal="center" vertical="center"/>
      <protection hidden="1"/>
    </xf>
    <xf numFmtId="0" fontId="21" fillId="13" borderId="24" xfId="3" applyFont="1" applyFill="1" applyBorder="1" applyAlignment="1" applyProtection="1">
      <alignment horizontal="center" vertical="center"/>
      <protection hidden="1"/>
    </xf>
    <xf numFmtId="0" fontId="21" fillId="13" borderId="21" xfId="3" applyFont="1" applyFill="1" applyBorder="1" applyAlignment="1" applyProtection="1">
      <alignment horizontal="center" vertical="center"/>
      <protection hidden="1"/>
    </xf>
    <xf numFmtId="0" fontId="16" fillId="48" borderId="20" xfId="0" applyFont="1" applyFill="1" applyBorder="1" applyAlignment="1">
      <alignment horizontal="center" vertical="center"/>
    </xf>
    <xf numFmtId="0" fontId="16" fillId="48" borderId="24" xfId="0" applyFont="1" applyFill="1" applyBorder="1" applyAlignment="1">
      <alignment horizontal="center" vertical="center"/>
    </xf>
    <xf numFmtId="0" fontId="16" fillId="48" borderId="21" xfId="0" applyFont="1" applyFill="1" applyBorder="1" applyAlignment="1">
      <alignment horizontal="center" vertical="center"/>
    </xf>
    <xf numFmtId="0" fontId="38" fillId="21" borderId="39" xfId="0" applyFont="1" applyFill="1" applyBorder="1" applyAlignment="1">
      <alignment horizontal="center" vertical="center" wrapText="1"/>
    </xf>
    <xf numFmtId="0" fontId="38" fillId="21" borderId="40" xfId="0" applyFont="1" applyFill="1" applyBorder="1" applyAlignment="1">
      <alignment horizontal="center" vertical="center" wrapText="1"/>
    </xf>
    <xf numFmtId="0" fontId="17" fillId="0" borderId="0" xfId="0" applyFont="1"/>
    <xf numFmtId="0" fontId="17" fillId="24" borderId="20" xfId="0" applyFont="1" applyFill="1" applyBorder="1" applyAlignment="1">
      <alignment horizontal="left" vertical="center" wrapText="1"/>
    </xf>
    <xf numFmtId="0" fontId="17" fillId="24" borderId="24" xfId="0" applyFont="1" applyFill="1" applyBorder="1" applyAlignment="1">
      <alignment horizontal="left" vertical="center" wrapText="1"/>
    </xf>
    <xf numFmtId="0" fontId="17" fillId="24" borderId="21" xfId="0" applyFont="1" applyFill="1" applyBorder="1" applyAlignment="1">
      <alignment horizontal="left" vertical="center" wrapText="1"/>
    </xf>
    <xf numFmtId="0" fontId="17" fillId="21" borderId="20" xfId="0" applyFont="1" applyFill="1" applyBorder="1" applyAlignment="1">
      <alignment horizontal="center" vertical="center"/>
    </xf>
    <xf numFmtId="0" fontId="17" fillId="21" borderId="24" xfId="0" applyFont="1" applyFill="1" applyBorder="1" applyAlignment="1">
      <alignment horizontal="center" vertical="center"/>
    </xf>
    <xf numFmtId="0" fontId="17" fillId="23" borderId="20" xfId="0" applyFont="1" applyFill="1" applyBorder="1" applyAlignment="1">
      <alignment horizontal="center" vertical="center" wrapText="1"/>
    </xf>
    <xf numFmtId="0" fontId="17" fillId="23" borderId="49" xfId="0" applyFont="1" applyFill="1" applyBorder="1" applyAlignment="1">
      <alignment horizontal="center" vertical="center" wrapText="1"/>
    </xf>
    <xf numFmtId="0" fontId="11" fillId="4" borderId="20" xfId="0" applyFont="1" applyFill="1" applyBorder="1" applyAlignment="1">
      <alignment horizontal="center" vertical="center"/>
    </xf>
    <xf numFmtId="0" fontId="11" fillId="4" borderId="24" xfId="0" applyFont="1" applyFill="1" applyBorder="1" applyAlignment="1">
      <alignment horizontal="center" vertical="center"/>
    </xf>
    <xf numFmtId="0" fontId="1" fillId="0" borderId="15" xfId="0" applyFont="1" applyBorder="1" applyAlignment="1">
      <alignment horizontal="center" vertical="center" wrapText="1"/>
    </xf>
    <xf numFmtId="0" fontId="1" fillId="0" borderId="16" xfId="0" applyFont="1" applyBorder="1" applyAlignment="1">
      <alignment horizontal="center" vertical="center" wrapText="1"/>
    </xf>
    <xf numFmtId="0" fontId="6" fillId="2" borderId="20" xfId="0" applyFont="1" applyFill="1" applyBorder="1" applyAlignment="1">
      <alignment horizontal="center" vertical="center"/>
    </xf>
    <xf numFmtId="0" fontId="6" fillId="2" borderId="24" xfId="0" applyFont="1" applyFill="1" applyBorder="1" applyAlignment="1">
      <alignment horizontal="center" vertical="center"/>
    </xf>
    <xf numFmtId="0" fontId="6" fillId="2" borderId="21" xfId="0" applyFont="1" applyFill="1" applyBorder="1" applyAlignment="1">
      <alignment horizontal="center" vertical="center"/>
    </xf>
    <xf numFmtId="0" fontId="0" fillId="0" borderId="0" xfId="0"/>
    <xf numFmtId="2" fontId="4" fillId="34" borderId="33" xfId="0" applyNumberFormat="1" applyFont="1" applyFill="1" applyBorder="1" applyAlignment="1">
      <alignment horizontal="center" vertical="center"/>
    </xf>
    <xf numFmtId="2" fontId="4" fillId="34" borderId="34" xfId="0" applyNumberFormat="1" applyFont="1" applyFill="1" applyBorder="1" applyAlignment="1">
      <alignment horizontal="center" vertical="center"/>
    </xf>
    <xf numFmtId="2" fontId="4" fillId="34" borderId="35" xfId="0" applyNumberFormat="1" applyFont="1" applyFill="1" applyBorder="1" applyAlignment="1">
      <alignment horizontal="center" vertical="center"/>
    </xf>
    <xf numFmtId="0" fontId="5" fillId="34" borderId="20" xfId="0" applyFont="1" applyFill="1" applyBorder="1" applyAlignment="1">
      <alignment horizontal="center" vertical="center" wrapText="1"/>
    </xf>
    <xf numFmtId="0" fontId="5" fillId="34" borderId="24" xfId="0" applyFont="1" applyFill="1" applyBorder="1" applyAlignment="1">
      <alignment horizontal="center" vertical="center" wrapText="1"/>
    </xf>
    <xf numFmtId="0" fontId="5" fillId="34" borderId="49" xfId="0" applyFont="1" applyFill="1" applyBorder="1" applyAlignment="1">
      <alignment horizontal="center" vertical="center" wrapText="1"/>
    </xf>
    <xf numFmtId="0" fontId="5" fillId="24" borderId="20" xfId="0" applyFont="1" applyFill="1" applyBorder="1" applyAlignment="1">
      <alignment horizontal="center" vertical="center" wrapText="1"/>
    </xf>
    <xf numFmtId="0" fontId="5" fillId="24" borderId="24" xfId="0" applyFont="1" applyFill="1" applyBorder="1" applyAlignment="1">
      <alignment horizontal="center" vertical="center" wrapText="1"/>
    </xf>
    <xf numFmtId="0" fontId="5" fillId="24" borderId="49" xfId="0" applyFont="1" applyFill="1" applyBorder="1" applyAlignment="1">
      <alignment horizontal="center" vertical="center" wrapText="1"/>
    </xf>
    <xf numFmtId="0" fontId="6" fillId="4" borderId="20" xfId="0" applyFont="1" applyFill="1" applyBorder="1" applyAlignment="1">
      <alignment horizontal="center" vertical="center"/>
    </xf>
    <xf numFmtId="0" fontId="6" fillId="4" borderId="24" xfId="0" applyFont="1" applyFill="1" applyBorder="1" applyAlignment="1">
      <alignment horizontal="center" vertical="center"/>
    </xf>
    <xf numFmtId="0" fontId="6" fillId="4" borderId="21" xfId="0" applyFont="1" applyFill="1" applyBorder="1" applyAlignment="1">
      <alignment horizontal="center" vertical="center"/>
    </xf>
    <xf numFmtId="0" fontId="0" fillId="31" borderId="23" xfId="0" applyFill="1" applyBorder="1" applyAlignment="1">
      <alignment horizontal="center" vertical="center" wrapText="1"/>
    </xf>
    <xf numFmtId="0" fontId="0" fillId="31" borderId="50" xfId="0" applyFill="1" applyBorder="1" applyAlignment="1">
      <alignment horizontal="center" vertical="center" wrapText="1"/>
    </xf>
    <xf numFmtId="0" fontId="0" fillId="31" borderId="28" xfId="0" applyFill="1" applyBorder="1" applyAlignment="1">
      <alignment horizontal="center" vertical="center" wrapText="1"/>
    </xf>
    <xf numFmtId="0" fontId="4" fillId="34" borderId="29" xfId="0" applyFont="1" applyFill="1" applyBorder="1" applyAlignment="1">
      <alignment horizontal="center" vertical="center" wrapText="1"/>
    </xf>
    <xf numFmtId="0" fontId="4" fillId="34" borderId="30" xfId="0" applyFont="1" applyFill="1" applyBorder="1" applyAlignment="1">
      <alignment horizontal="center" vertical="center" wrapText="1"/>
    </xf>
    <xf numFmtId="0" fontId="4" fillId="34" borderId="31" xfId="0" applyFont="1" applyFill="1" applyBorder="1" applyAlignment="1">
      <alignment horizontal="center" vertical="center" wrapText="1"/>
    </xf>
    <xf numFmtId="0" fontId="7" fillId="5" borderId="20" xfId="0" applyFont="1" applyFill="1" applyBorder="1" applyAlignment="1">
      <alignment horizontal="center" vertical="center"/>
    </xf>
    <xf numFmtId="0" fontId="7" fillId="5" borderId="24" xfId="0" applyFont="1" applyFill="1" applyBorder="1" applyAlignment="1">
      <alignment horizontal="center" vertical="center"/>
    </xf>
    <xf numFmtId="0" fontId="7" fillId="5" borderId="21" xfId="0" applyFont="1" applyFill="1" applyBorder="1" applyAlignment="1">
      <alignment horizontal="center" vertical="center"/>
    </xf>
    <xf numFmtId="0" fontId="7" fillId="8" borderId="20" xfId="0" applyFont="1" applyFill="1" applyBorder="1" applyAlignment="1">
      <alignment horizontal="center" vertical="center"/>
    </xf>
    <xf numFmtId="0" fontId="7" fillId="8" borderId="24" xfId="0" applyFont="1" applyFill="1" applyBorder="1" applyAlignment="1">
      <alignment horizontal="center" vertical="center"/>
    </xf>
    <xf numFmtId="0" fontId="7" fillId="8" borderId="21" xfId="0" applyFont="1" applyFill="1" applyBorder="1" applyAlignment="1">
      <alignment horizontal="center" vertical="center"/>
    </xf>
    <xf numFmtId="0" fontId="11" fillId="25" borderId="25" xfId="0" applyFont="1" applyFill="1" applyBorder="1" applyAlignment="1">
      <alignment horizontal="center"/>
    </xf>
    <xf numFmtId="0" fontId="11" fillId="25" borderId="23" xfId="0" applyFont="1" applyFill="1" applyBorder="1" applyAlignment="1">
      <alignment horizontal="center"/>
    </xf>
    <xf numFmtId="0" fontId="0" fillId="24" borderId="20" xfId="0" applyFill="1" applyBorder="1" applyAlignment="1">
      <alignment horizontal="right" vertical="center"/>
    </xf>
    <xf numFmtId="0" fontId="0" fillId="24" borderId="24" xfId="0" applyFill="1" applyBorder="1" applyAlignment="1">
      <alignment horizontal="right" vertical="center"/>
    </xf>
    <xf numFmtId="0" fontId="6" fillId="3" borderId="20" xfId="0" applyFont="1" applyFill="1" applyBorder="1" applyAlignment="1">
      <alignment horizontal="center" vertical="center"/>
    </xf>
    <xf numFmtId="0" fontId="6" fillId="3" borderId="24" xfId="0" applyFont="1" applyFill="1" applyBorder="1" applyAlignment="1">
      <alignment horizontal="center" vertical="center"/>
    </xf>
    <xf numFmtId="0" fontId="6" fillId="3" borderId="21" xfId="0" applyFont="1" applyFill="1" applyBorder="1" applyAlignment="1">
      <alignment horizontal="center" vertical="center"/>
    </xf>
    <xf numFmtId="0" fontId="4" fillId="42" borderId="29" xfId="0" applyFont="1" applyFill="1" applyBorder="1" applyAlignment="1">
      <alignment horizontal="center" vertical="center" wrapText="1"/>
    </xf>
    <xf numFmtId="0" fontId="4" fillId="42" borderId="30" xfId="0" applyFont="1" applyFill="1" applyBorder="1" applyAlignment="1">
      <alignment horizontal="center" vertical="center" wrapText="1"/>
    </xf>
    <xf numFmtId="0" fontId="4" fillId="42" borderId="31" xfId="0" applyFont="1" applyFill="1" applyBorder="1" applyAlignment="1">
      <alignment horizontal="center" vertical="center" wrapText="1"/>
    </xf>
    <xf numFmtId="0" fontId="6" fillId="6" borderId="20" xfId="0" applyFont="1" applyFill="1" applyBorder="1" applyAlignment="1">
      <alignment horizontal="center" vertical="center"/>
    </xf>
    <xf numFmtId="0" fontId="6" fillId="6" borderId="24" xfId="0" applyFont="1" applyFill="1" applyBorder="1" applyAlignment="1">
      <alignment horizontal="center" vertical="center"/>
    </xf>
    <xf numFmtId="0" fontId="6" fillId="6" borderId="21" xfId="0" applyFont="1" applyFill="1" applyBorder="1" applyAlignment="1">
      <alignment horizontal="center" vertical="center"/>
    </xf>
    <xf numFmtId="0" fontId="6" fillId="7" borderId="20" xfId="0" applyFont="1" applyFill="1" applyBorder="1" applyAlignment="1">
      <alignment horizontal="center" vertical="center"/>
    </xf>
    <xf numFmtId="0" fontId="6" fillId="7" borderId="24" xfId="0" applyFont="1" applyFill="1" applyBorder="1" applyAlignment="1">
      <alignment horizontal="center" vertical="center"/>
    </xf>
    <xf numFmtId="0" fontId="6" fillId="7" borderId="21" xfId="0" applyFont="1" applyFill="1" applyBorder="1" applyAlignment="1">
      <alignment horizontal="center" vertical="center"/>
    </xf>
    <xf numFmtId="2" fontId="4" fillId="42" borderId="29" xfId="0" applyNumberFormat="1" applyFont="1" applyFill="1" applyBorder="1" applyAlignment="1">
      <alignment horizontal="center" vertical="center" wrapText="1"/>
    </xf>
    <xf numFmtId="2" fontId="4" fillId="42" borderId="30" xfId="0" applyNumberFormat="1" applyFont="1" applyFill="1" applyBorder="1" applyAlignment="1">
      <alignment horizontal="center" vertical="center" wrapText="1"/>
    </xf>
    <xf numFmtId="2" fontId="4" fillId="42" borderId="31" xfId="0" applyNumberFormat="1" applyFont="1" applyFill="1" applyBorder="1" applyAlignment="1">
      <alignment horizontal="center" vertical="center" wrapText="1"/>
    </xf>
    <xf numFmtId="0" fontId="7" fillId="9" borderId="20" xfId="0" applyFont="1" applyFill="1" applyBorder="1" applyAlignment="1">
      <alignment horizontal="center" vertical="center"/>
    </xf>
    <xf numFmtId="0" fontId="7" fillId="9" borderId="24" xfId="0" applyFont="1" applyFill="1" applyBorder="1" applyAlignment="1">
      <alignment horizontal="center" vertical="center"/>
    </xf>
    <xf numFmtId="0" fontId="7" fillId="9" borderId="21" xfId="0" applyFont="1" applyFill="1" applyBorder="1" applyAlignment="1">
      <alignment horizontal="center" vertical="center"/>
    </xf>
    <xf numFmtId="0" fontId="6" fillId="10" borderId="20" xfId="0" applyFont="1" applyFill="1" applyBorder="1" applyAlignment="1">
      <alignment horizontal="center" vertical="center"/>
    </xf>
    <xf numFmtId="0" fontId="6" fillId="10" borderId="24" xfId="0" applyFont="1" applyFill="1" applyBorder="1" applyAlignment="1">
      <alignment horizontal="center" vertical="center"/>
    </xf>
    <xf numFmtId="0" fontId="6" fillId="10" borderId="21" xfId="0" applyFont="1" applyFill="1" applyBorder="1" applyAlignment="1">
      <alignment horizontal="center" vertical="center"/>
    </xf>
    <xf numFmtId="0" fontId="4" fillId="21" borderId="29" xfId="0" applyFont="1" applyFill="1" applyBorder="1" applyAlignment="1">
      <alignment horizontal="center" vertical="center"/>
    </xf>
    <xf numFmtId="0" fontId="4" fillId="21" borderId="30" xfId="0" applyFont="1" applyFill="1" applyBorder="1" applyAlignment="1">
      <alignment horizontal="center" vertical="center"/>
    </xf>
    <xf numFmtId="0" fontId="4" fillId="21" borderId="31" xfId="0" applyFont="1" applyFill="1" applyBorder="1" applyAlignment="1">
      <alignment horizontal="center" vertical="center"/>
    </xf>
    <xf numFmtId="0" fontId="6" fillId="11" borderId="20" xfId="0" applyFont="1" applyFill="1" applyBorder="1" applyAlignment="1">
      <alignment horizontal="center" vertical="center"/>
    </xf>
    <xf numFmtId="0" fontId="6" fillId="11" borderId="24" xfId="0" applyFont="1" applyFill="1" applyBorder="1" applyAlignment="1">
      <alignment horizontal="center" vertical="center"/>
    </xf>
    <xf numFmtId="0" fontId="6" fillId="11" borderId="21" xfId="0" applyFont="1" applyFill="1" applyBorder="1" applyAlignment="1">
      <alignment horizontal="center" vertical="center"/>
    </xf>
    <xf numFmtId="2" fontId="0" fillId="21" borderId="29" xfId="0" applyNumberFormat="1" applyFill="1" applyBorder="1" applyAlignment="1">
      <alignment horizontal="center" vertical="center"/>
    </xf>
    <xf numFmtId="2" fontId="0" fillId="21" borderId="30" xfId="0" applyNumberFormat="1" applyFill="1" applyBorder="1" applyAlignment="1">
      <alignment horizontal="center" vertical="center"/>
    </xf>
    <xf numFmtId="2" fontId="0" fillId="21" borderId="31" xfId="0" applyNumberFormat="1" applyFill="1" applyBorder="1" applyAlignment="1">
      <alignment horizontal="center" vertical="center"/>
    </xf>
    <xf numFmtId="0" fontId="7" fillId="16" borderId="20" xfId="0" applyFont="1" applyFill="1" applyBorder="1" applyAlignment="1">
      <alignment horizontal="center" vertical="center"/>
    </xf>
    <xf numFmtId="0" fontId="7" fillId="16" borderId="24" xfId="0" applyFont="1" applyFill="1" applyBorder="1" applyAlignment="1">
      <alignment horizontal="center" vertical="center"/>
    </xf>
    <xf numFmtId="0" fontId="7" fillId="16" borderId="21" xfId="0" applyFont="1" applyFill="1" applyBorder="1" applyAlignment="1">
      <alignment horizontal="center" vertical="center"/>
    </xf>
    <xf numFmtId="2" fontId="4" fillId="32" borderId="29" xfId="0" applyNumberFormat="1" applyFont="1" applyFill="1" applyBorder="1" applyAlignment="1">
      <alignment horizontal="center" vertical="center" wrapText="1"/>
    </xf>
    <xf numFmtId="2" fontId="4" fillId="32" borderId="30" xfId="0" applyNumberFormat="1" applyFont="1" applyFill="1" applyBorder="1" applyAlignment="1">
      <alignment horizontal="center" vertical="center" wrapText="1"/>
    </xf>
    <xf numFmtId="2" fontId="4" fillId="32" borderId="31" xfId="0" applyNumberFormat="1" applyFont="1" applyFill="1" applyBorder="1" applyAlignment="1">
      <alignment horizontal="center" vertical="center" wrapText="1"/>
    </xf>
    <xf numFmtId="0" fontId="6" fillId="12" borderId="20" xfId="0" applyFont="1" applyFill="1" applyBorder="1" applyAlignment="1">
      <alignment horizontal="center" vertical="center"/>
    </xf>
    <xf numFmtId="0" fontId="6" fillId="12" borderId="24" xfId="0" applyFont="1" applyFill="1" applyBorder="1" applyAlignment="1">
      <alignment horizontal="center" vertical="center"/>
    </xf>
    <xf numFmtId="0" fontId="6" fillId="12" borderId="21" xfId="0" applyFont="1" applyFill="1" applyBorder="1" applyAlignment="1">
      <alignment horizontal="center" vertical="center"/>
    </xf>
    <xf numFmtId="0" fontId="4" fillId="32" borderId="29" xfId="0" applyFont="1" applyFill="1" applyBorder="1" applyAlignment="1">
      <alignment horizontal="center" vertical="center" wrapText="1"/>
    </xf>
    <xf numFmtId="0" fontId="4" fillId="32" borderId="30" xfId="0" applyFont="1" applyFill="1" applyBorder="1" applyAlignment="1">
      <alignment horizontal="center" vertical="center" wrapText="1"/>
    </xf>
    <xf numFmtId="0" fontId="4" fillId="32" borderId="31" xfId="0" applyFont="1" applyFill="1" applyBorder="1" applyAlignment="1">
      <alignment horizontal="center" vertical="center" wrapText="1"/>
    </xf>
    <xf numFmtId="0" fontId="6" fillId="13" borderId="20" xfId="0" applyFont="1" applyFill="1" applyBorder="1" applyAlignment="1">
      <alignment horizontal="center" vertical="center"/>
    </xf>
    <xf numFmtId="0" fontId="6" fillId="13" borderId="24" xfId="0" applyFont="1" applyFill="1" applyBorder="1" applyAlignment="1">
      <alignment horizontal="center" vertical="center"/>
    </xf>
    <xf numFmtId="0" fontId="6" fillId="13" borderId="21" xfId="0" applyFont="1" applyFill="1" applyBorder="1" applyAlignment="1">
      <alignment horizontal="center" vertical="center"/>
    </xf>
    <xf numFmtId="2" fontId="4" fillId="32" borderId="29" xfId="0" applyNumberFormat="1" applyFont="1" applyFill="1" applyBorder="1" applyAlignment="1">
      <alignment horizontal="center" vertical="center"/>
    </xf>
    <xf numFmtId="2" fontId="4" fillId="32" borderId="30" xfId="0" applyNumberFormat="1" applyFont="1" applyFill="1" applyBorder="1" applyAlignment="1">
      <alignment horizontal="center" vertical="center"/>
    </xf>
    <xf numFmtId="2" fontId="4" fillId="32" borderId="31" xfId="0" applyNumberFormat="1" applyFont="1" applyFill="1" applyBorder="1" applyAlignment="1">
      <alignment horizontal="center" vertical="center"/>
    </xf>
    <xf numFmtId="0" fontId="7" fillId="14" borderId="20" xfId="0" applyFont="1" applyFill="1" applyBorder="1" applyAlignment="1">
      <alignment horizontal="center" vertical="center"/>
    </xf>
    <xf numFmtId="0" fontId="7" fillId="14" borderId="24" xfId="0" applyFont="1" applyFill="1" applyBorder="1" applyAlignment="1">
      <alignment horizontal="center" vertical="center"/>
    </xf>
    <xf numFmtId="0" fontId="7" fillId="14" borderId="21" xfId="0" applyFont="1" applyFill="1" applyBorder="1" applyAlignment="1">
      <alignment horizontal="center" vertical="center"/>
    </xf>
    <xf numFmtId="0" fontId="7" fillId="15" borderId="20" xfId="0" applyFont="1" applyFill="1" applyBorder="1" applyAlignment="1">
      <alignment horizontal="center" vertical="center"/>
    </xf>
    <xf numFmtId="0" fontId="7" fillId="15" borderId="24" xfId="0" applyFont="1" applyFill="1" applyBorder="1" applyAlignment="1">
      <alignment horizontal="center" vertical="center"/>
    </xf>
    <xf numFmtId="0" fontId="7" fillId="15" borderId="21" xfId="0" applyFont="1" applyFill="1" applyBorder="1" applyAlignment="1">
      <alignment horizontal="center" vertical="center"/>
    </xf>
    <xf numFmtId="2" fontId="4" fillId="41" borderId="29" xfId="0" applyNumberFormat="1" applyFont="1" applyFill="1" applyBorder="1" applyAlignment="1">
      <alignment horizontal="center" vertical="center" wrapText="1"/>
    </xf>
    <xf numFmtId="2" fontId="4" fillId="41" borderId="30" xfId="0" applyNumberFormat="1" applyFont="1" applyFill="1" applyBorder="1" applyAlignment="1">
      <alignment horizontal="center" vertical="center" wrapText="1"/>
    </xf>
    <xf numFmtId="2" fontId="4" fillId="41" borderId="31" xfId="0" applyNumberFormat="1" applyFont="1" applyFill="1" applyBorder="1" applyAlignment="1">
      <alignment horizontal="center" vertical="center" wrapText="1"/>
    </xf>
    <xf numFmtId="0" fontId="11" fillId="24" borderId="29" xfId="0" applyFont="1" applyFill="1" applyBorder="1" applyAlignment="1">
      <alignment horizontal="left" vertical="center" wrapText="1"/>
    </xf>
    <xf numFmtId="0" fontId="11" fillId="24" borderId="31" xfId="0" applyFont="1" applyFill="1" applyBorder="1" applyAlignment="1">
      <alignment horizontal="left" vertical="center" wrapText="1"/>
    </xf>
    <xf numFmtId="0" fontId="11" fillId="24" borderId="29" xfId="0" applyFont="1" applyFill="1" applyBorder="1" applyAlignment="1">
      <alignment horizontal="center" vertical="center" wrapText="1"/>
    </xf>
    <xf numFmtId="0" fontId="11" fillId="24" borderId="30" xfId="0" applyFont="1" applyFill="1" applyBorder="1" applyAlignment="1">
      <alignment horizontal="center" vertical="center" wrapText="1"/>
    </xf>
    <xf numFmtId="0" fontId="47" fillId="15" borderId="29" xfId="0" applyFont="1" applyFill="1" applyBorder="1" applyAlignment="1">
      <alignment horizontal="center" vertical="center" wrapText="1"/>
    </xf>
    <xf numFmtId="0" fontId="47" fillId="15" borderId="31" xfId="0" applyFont="1" applyFill="1" applyBorder="1" applyAlignment="1">
      <alignment horizontal="center" vertical="center" wrapText="1"/>
    </xf>
    <xf numFmtId="0" fontId="47" fillId="13" borderId="20" xfId="0" applyFont="1" applyFill="1" applyBorder="1" applyAlignment="1">
      <alignment horizontal="center" vertical="center" wrapText="1"/>
    </xf>
    <xf numFmtId="0" fontId="47" fillId="13" borderId="24" xfId="0" applyFont="1" applyFill="1" applyBorder="1" applyAlignment="1">
      <alignment horizontal="center" vertical="center" wrapText="1"/>
    </xf>
    <xf numFmtId="0" fontId="47" fillId="13" borderId="21" xfId="0" applyFont="1" applyFill="1" applyBorder="1" applyAlignment="1">
      <alignment horizontal="center" vertical="center" wrapText="1"/>
    </xf>
    <xf numFmtId="0" fontId="16" fillId="15" borderId="20" xfId="0" applyFont="1" applyFill="1" applyBorder="1" applyAlignment="1">
      <alignment horizontal="center" vertical="center" wrapText="1"/>
    </xf>
    <xf numFmtId="0" fontId="16" fillId="15" borderId="24" xfId="0" applyFont="1" applyFill="1" applyBorder="1" applyAlignment="1">
      <alignment horizontal="center" vertical="center" wrapText="1"/>
    </xf>
    <xf numFmtId="0" fontId="16" fillId="15" borderId="21" xfId="0" applyFont="1" applyFill="1" applyBorder="1" applyAlignment="1">
      <alignment horizontal="center" vertical="center" wrapText="1"/>
    </xf>
    <xf numFmtId="0" fontId="64" fillId="49" borderId="22" xfId="0" applyFont="1" applyFill="1" applyBorder="1" applyAlignment="1">
      <alignment horizontal="center" vertical="center" wrapText="1"/>
    </xf>
    <xf numFmtId="0" fontId="64" fillId="49" borderId="25" xfId="0" applyFont="1" applyFill="1" applyBorder="1" applyAlignment="1">
      <alignment horizontal="center" vertical="center" wrapText="1"/>
    </xf>
    <xf numFmtId="0" fontId="64" fillId="49" borderId="23" xfId="0" applyFont="1" applyFill="1" applyBorder="1" applyAlignment="1">
      <alignment horizontal="center" vertical="center" wrapText="1"/>
    </xf>
    <xf numFmtId="0" fontId="64" fillId="49" borderId="26" xfId="0" applyFont="1" applyFill="1" applyBorder="1" applyAlignment="1">
      <alignment horizontal="center" vertical="center" wrapText="1"/>
    </xf>
    <xf numFmtId="0" fontId="64" fillId="49" borderId="27" xfId="0" applyFont="1" applyFill="1" applyBorder="1" applyAlignment="1">
      <alignment horizontal="center" vertical="center" wrapText="1"/>
    </xf>
    <xf numFmtId="0" fontId="64" fillId="49" borderId="28" xfId="0" applyFont="1" applyFill="1" applyBorder="1" applyAlignment="1">
      <alignment horizontal="center" vertical="center" wrapText="1"/>
    </xf>
    <xf numFmtId="0" fontId="21" fillId="15" borderId="20" xfId="0" applyFont="1" applyFill="1" applyBorder="1" applyAlignment="1">
      <alignment horizontal="center" vertical="center"/>
    </xf>
    <xf numFmtId="0" fontId="21" fillId="15" borderId="24" xfId="0" applyFont="1" applyFill="1" applyBorder="1" applyAlignment="1">
      <alignment horizontal="center" vertical="center"/>
    </xf>
    <xf numFmtId="0" fontId="21" fillId="15" borderId="21" xfId="0" applyFont="1" applyFill="1" applyBorder="1" applyAlignment="1">
      <alignment horizontal="center" vertical="center"/>
    </xf>
    <xf numFmtId="0" fontId="36" fillId="49" borderId="22" xfId="0" applyFont="1" applyFill="1" applyBorder="1" applyAlignment="1">
      <alignment horizontal="center" vertical="center" wrapText="1"/>
    </xf>
    <xf numFmtId="0" fontId="36" fillId="49" borderId="25" xfId="0" applyFont="1" applyFill="1" applyBorder="1" applyAlignment="1">
      <alignment horizontal="center" vertical="center" wrapText="1"/>
    </xf>
    <xf numFmtId="0" fontId="36" fillId="49" borderId="23" xfId="0" applyFont="1" applyFill="1" applyBorder="1" applyAlignment="1">
      <alignment horizontal="center" vertical="center" wrapText="1"/>
    </xf>
    <xf numFmtId="0" fontId="36" fillId="49" borderId="26" xfId="0" applyFont="1" applyFill="1" applyBorder="1" applyAlignment="1">
      <alignment horizontal="center" vertical="center" wrapText="1"/>
    </xf>
    <xf numFmtId="0" fontId="36" fillId="49" borderId="27" xfId="0" applyFont="1" applyFill="1" applyBorder="1" applyAlignment="1">
      <alignment horizontal="center" vertical="center" wrapText="1"/>
    </xf>
    <xf numFmtId="0" fontId="36" fillId="49" borderId="28" xfId="0" applyFont="1" applyFill="1" applyBorder="1" applyAlignment="1">
      <alignment horizontal="center" vertical="center" wrapText="1"/>
    </xf>
    <xf numFmtId="0" fontId="18" fillId="31" borderId="20" xfId="0" applyFont="1" applyFill="1" applyBorder="1" applyAlignment="1">
      <alignment horizontal="center" vertical="center"/>
    </xf>
    <xf numFmtId="0" fontId="18" fillId="31" borderId="21" xfId="0" applyFont="1" applyFill="1" applyBorder="1" applyAlignment="1">
      <alignment horizontal="center" vertical="center"/>
    </xf>
    <xf numFmtId="0" fontId="16" fillId="13" borderId="20" xfId="0" applyFont="1" applyFill="1" applyBorder="1" applyAlignment="1">
      <alignment horizontal="center" vertical="center" wrapText="1"/>
    </xf>
    <xf numFmtId="0" fontId="16" fillId="13" borderId="24" xfId="0" applyFont="1" applyFill="1" applyBorder="1" applyAlignment="1">
      <alignment horizontal="center" vertical="center" wrapText="1"/>
    </xf>
    <xf numFmtId="0" fontId="16" fillId="13" borderId="21" xfId="0" applyFont="1" applyFill="1" applyBorder="1" applyAlignment="1">
      <alignment horizontal="center" vertical="center" wrapText="1"/>
    </xf>
    <xf numFmtId="0" fontId="5" fillId="0" borderId="22" xfId="0" applyFont="1" applyBorder="1" applyAlignment="1" applyProtection="1">
      <alignment horizontal="center" vertical="center" wrapText="1"/>
      <protection locked="0"/>
    </xf>
    <xf numFmtId="0" fontId="5" fillId="0" borderId="23" xfId="0" applyFont="1" applyBorder="1" applyAlignment="1" applyProtection="1">
      <alignment horizontal="center" vertical="center" wrapText="1"/>
      <protection locked="0"/>
    </xf>
    <xf numFmtId="0" fontId="5" fillId="0" borderId="48" xfId="0" applyFont="1" applyBorder="1" applyAlignment="1" applyProtection="1">
      <alignment horizontal="center" vertical="center" wrapText="1"/>
      <protection locked="0"/>
    </xf>
    <xf numFmtId="0" fontId="5" fillId="0" borderId="50" xfId="0" applyFont="1" applyBorder="1" applyAlignment="1" applyProtection="1">
      <alignment horizontal="center" vertical="center" wrapText="1"/>
      <protection locked="0"/>
    </xf>
    <xf numFmtId="0" fontId="5" fillId="0" borderId="26" xfId="0" applyFont="1" applyBorder="1" applyAlignment="1" applyProtection="1">
      <alignment horizontal="center" vertical="center" wrapText="1"/>
      <protection locked="0"/>
    </xf>
    <xf numFmtId="0" fontId="5" fillId="0" borderId="28" xfId="0" applyFont="1" applyBorder="1" applyAlignment="1" applyProtection="1">
      <alignment horizontal="center" vertical="center" wrapText="1"/>
      <protection locked="0"/>
    </xf>
    <xf numFmtId="0" fontId="16" fillId="43" borderId="22" xfId="0" applyFont="1" applyFill="1" applyBorder="1" applyAlignment="1">
      <alignment horizontal="center" vertical="center" wrapText="1"/>
    </xf>
    <xf numFmtId="0" fontId="16" fillId="43" borderId="25" xfId="0" applyFont="1" applyFill="1" applyBorder="1" applyAlignment="1">
      <alignment horizontal="center" vertical="center" wrapText="1"/>
    </xf>
    <xf numFmtId="0" fontId="16" fillId="43" borderId="26" xfId="0" applyFont="1" applyFill="1" applyBorder="1" applyAlignment="1">
      <alignment horizontal="center" vertical="center" wrapText="1"/>
    </xf>
    <xf numFmtId="0" fontId="16" fillId="43" borderId="27" xfId="0" applyFont="1" applyFill="1" applyBorder="1" applyAlignment="1">
      <alignment horizontal="center" vertical="center" wrapText="1"/>
    </xf>
    <xf numFmtId="9" fontId="1" fillId="0" borderId="23" xfId="1" applyFont="1" applyBorder="1" applyAlignment="1" applyProtection="1">
      <alignment horizontal="center" vertical="center"/>
    </xf>
    <xf numFmtId="9" fontId="1" fillId="0" borderId="28" xfId="1" applyFont="1" applyBorder="1" applyAlignment="1" applyProtection="1">
      <alignment horizontal="center" vertical="center"/>
    </xf>
    <xf numFmtId="0" fontId="16" fillId="15" borderId="22" xfId="0" applyFont="1" applyFill="1" applyBorder="1" applyAlignment="1">
      <alignment horizontal="center" vertical="center" wrapText="1"/>
    </xf>
    <xf numFmtId="0" fontId="16" fillId="15" borderId="25" xfId="0" applyFont="1" applyFill="1" applyBorder="1" applyAlignment="1">
      <alignment horizontal="center" vertical="center" wrapText="1"/>
    </xf>
    <xf numFmtId="0" fontId="16" fillId="15" borderId="26" xfId="0" applyFont="1" applyFill="1" applyBorder="1" applyAlignment="1">
      <alignment horizontal="center" vertical="center" wrapText="1"/>
    </xf>
    <xf numFmtId="0" fontId="16" fillId="15" borderId="27" xfId="0" applyFont="1" applyFill="1" applyBorder="1" applyAlignment="1">
      <alignment horizontal="center" vertical="center" wrapText="1"/>
    </xf>
    <xf numFmtId="165" fontId="1" fillId="0" borderId="23" xfId="1" applyNumberFormat="1" applyFont="1" applyBorder="1" applyAlignment="1" applyProtection="1">
      <alignment horizontal="center" vertical="center"/>
    </xf>
    <xf numFmtId="165" fontId="1" fillId="0" borderId="28" xfId="1" applyNumberFormat="1" applyFont="1" applyBorder="1" applyAlignment="1" applyProtection="1">
      <alignment horizontal="center" vertical="center"/>
    </xf>
  </cellXfs>
  <cellStyles count="5">
    <cellStyle name="Collegamento ipertestuale" xfId="4" builtinId="8"/>
    <cellStyle name="Normal 2" xfId="2" xr:uid="{012E0FF4-88C1-406F-A915-6AD414A50755}"/>
    <cellStyle name="Normal 3" xfId="3" xr:uid="{147BC957-8745-4869-A393-9070F4811A05}"/>
    <cellStyle name="Normale" xfId="0" builtinId="0"/>
    <cellStyle name="Percentuale" xfId="1" builtinId="5"/>
  </cellStyles>
  <dxfs count="38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4.9989318521683403E-2"/>
      </font>
      <fill>
        <patternFill patternType="solid">
          <bgColor theme="0" tint="-4.9989318521683403E-2"/>
        </patternFill>
      </fill>
    </dxf>
    <dxf>
      <fill>
        <patternFill>
          <bgColor rgb="FFFF9797"/>
        </patternFill>
      </fill>
    </dxf>
    <dxf>
      <fill>
        <patternFill>
          <bgColor theme="5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rgb="FFFF6969"/>
        </patternFill>
      </fill>
    </dxf>
    <dxf>
      <fill>
        <patternFill>
          <bgColor rgb="FFFF6969"/>
        </patternFill>
      </fill>
    </dxf>
    <dxf>
      <font>
        <color rgb="FFC00000"/>
      </font>
      <fill>
        <patternFill>
          <bgColor rgb="FFF89C9C"/>
        </patternFill>
      </fill>
    </dxf>
    <dxf>
      <font>
        <color theme="9" tint="-0.499984740745262"/>
      </font>
      <fill>
        <patternFill>
          <bgColor theme="9" tint="0.59996337778862885"/>
        </patternFill>
      </fill>
    </dxf>
    <dxf>
      <font>
        <color rgb="FF9C5700"/>
      </font>
      <fill>
        <patternFill>
          <bgColor rgb="FFFFEB9C"/>
        </patternFill>
      </fill>
    </dxf>
    <dxf>
      <font>
        <b/>
        <i/>
        <color rgb="FFC00000"/>
      </font>
    </dxf>
    <dxf>
      <font>
        <b/>
        <i/>
        <color rgb="FFC00000"/>
      </font>
    </dxf>
    <dxf>
      <font>
        <b/>
        <i val="0"/>
        <color theme="0"/>
      </font>
      <fill>
        <patternFill>
          <bgColor theme="6" tint="-0.24994659260841701"/>
        </patternFill>
      </fill>
    </dxf>
    <dxf>
      <font>
        <b/>
        <i val="0"/>
        <color theme="0"/>
      </font>
      <fill>
        <patternFill>
          <bgColor theme="6" tint="-0.499984740745262"/>
        </patternFill>
      </fill>
    </dxf>
    <dxf>
      <font>
        <b/>
        <i val="0"/>
        <color theme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ill>
        <patternFill>
          <bgColor rgb="FF00B050"/>
        </patternFill>
      </fill>
    </dxf>
    <dxf>
      <font>
        <b/>
        <i val="0"/>
        <color theme="0"/>
      </font>
      <fill>
        <patternFill>
          <bgColor theme="6" tint="-0.24994659260841701"/>
        </patternFill>
      </fill>
    </dxf>
    <dxf>
      <font>
        <b/>
        <i val="0"/>
        <color theme="0"/>
      </font>
      <fill>
        <patternFill>
          <bgColor theme="6" tint="-0.499984740745262"/>
        </patternFill>
      </fill>
    </dxf>
    <dxf>
      <font>
        <b/>
        <i val="0"/>
        <color theme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theme="9" tint="-0.24994659260841701"/>
        </patternFill>
      </fill>
    </dxf>
    <dxf>
      <font>
        <b/>
        <i val="0"/>
        <color theme="0"/>
      </font>
      <fill>
        <patternFill>
          <bgColor rgb="FFC00000"/>
        </patternFill>
      </fill>
    </dxf>
  </dxfs>
  <tableStyles count="0" defaultTableStyle="TableStyleMedium2" defaultPivotStyle="PivotStyleLight16"/>
  <colors>
    <mruColors>
      <color rgb="FFFF6969"/>
      <color rgb="FFE9EDF7"/>
      <color rgb="FFEFF6FB"/>
      <color rgb="FFF89C9C"/>
      <color rgb="FFFBA799"/>
      <color rgb="FFFF6D6D"/>
      <color rgb="FFFF3B3B"/>
      <color rgb="FFFF9797"/>
      <color rgb="FFFCA30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tyles" Target="styles.xml"/><Relationship Id="rId30" Type="http://schemas.openxmlformats.org/officeDocument/2006/relationships/calcChain" Target="calcChain.xml"/><Relationship Id="rId8" Type="http://schemas.openxmlformats.org/officeDocument/2006/relationships/worksheet" Target="worksheets/sheet8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latin typeface="+mn-lt"/>
              </a:defRPr>
            </a:pPr>
            <a:r>
              <a:rPr lang="en-US">
                <a:latin typeface="+mn-lt"/>
              </a:rPr>
              <a:t>Profilo Complessità</a:t>
            </a:r>
          </a:p>
        </c:rich>
      </c:tx>
      <c:layout>
        <c:manualLayout>
          <c:xMode val="edge"/>
          <c:yMode val="edge"/>
          <c:x val="1.3583804224613725E-2"/>
          <c:y val="1.9971240016564074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7.5975955659349795E-2"/>
          <c:y val="0.17050249596818579"/>
          <c:w val="0.88845774307172476"/>
          <c:h val="0.70017001861500872"/>
        </c:manualLayout>
      </c:layout>
      <c:barChart>
        <c:barDir val="col"/>
        <c:grouping val="clustered"/>
        <c:varyColors val="0"/>
        <c:ser>
          <c:idx val="0"/>
          <c:order val="0"/>
          <c:tx>
            <c:v> </c:v>
          </c:tx>
          <c:invertIfNegative val="0"/>
          <c:dPt>
            <c:idx val="5"/>
            <c:invertIfNegative val="0"/>
            <c:bubble3D val="0"/>
            <c:spPr>
              <a:solidFill>
                <a:schemeClr val="accent6">
                  <a:lumMod val="40000"/>
                  <a:lumOff val="60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1-1622-44D5-B543-E331942C5C07}"/>
              </c:ext>
            </c:extLst>
          </c:dPt>
          <c:dPt>
            <c:idx val="6"/>
            <c:invertIfNegative val="0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3-1622-44D5-B543-E331942C5C07}"/>
              </c:ext>
            </c:extLst>
          </c:dPt>
          <c:cat>
            <c:strRef>
              <c:f>'Indice Complessità'!$B$4:$B$10</c:f>
              <c:strCache>
                <c:ptCount val="7"/>
                <c:pt idx="0">
                  <c:v>Reti e infrastruttura</c:v>
                </c:pt>
                <c:pt idx="1">
                  <c:v>Tecnologie su reti IP</c:v>
                </c:pt>
                <c:pt idx="2">
                  <c:v>Applicazioni </c:v>
                </c:pt>
                <c:pt idx="3">
                  <c:v>Servizi online</c:v>
                </c:pt>
                <c:pt idx="4">
                  <c:v>Reparto IT</c:v>
                </c:pt>
                <c:pt idx="5">
                  <c:v>Complessità media</c:v>
                </c:pt>
                <c:pt idx="6">
                  <c:v>Complessità media pesata</c:v>
                </c:pt>
              </c:strCache>
            </c:strRef>
          </c:cat>
          <c:val>
            <c:numRef>
              <c:f>'Indice Complessità'!$D$4:$D$10</c:f>
              <c:numCache>
                <c:formatCode>0.00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622-44D5-B543-E331942C5C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40435528"/>
        <c:axId val="340431216"/>
      </c:barChart>
      <c:catAx>
        <c:axId val="340435528"/>
        <c:scaling>
          <c:orientation val="minMax"/>
        </c:scaling>
        <c:delete val="0"/>
        <c:axPos val="b"/>
        <c:majorGridlines/>
        <c:numFmt formatCode="@" sourceLinked="0"/>
        <c:majorTickMark val="out"/>
        <c:minorTickMark val="none"/>
        <c:tickLblPos val="nextTo"/>
        <c:spPr>
          <a:noFill/>
        </c:spPr>
        <c:txPr>
          <a:bodyPr rot="0" vert="horz" anchor="t" anchorCtr="1"/>
          <a:lstStyle/>
          <a:p>
            <a:pPr>
              <a:defRPr sz="1000" b="1">
                <a:latin typeface="Arial" pitchFamily="34" charset="0"/>
                <a:cs typeface="Arial" pitchFamily="34" charset="0"/>
              </a:defRPr>
            </a:pPr>
            <a:endParaRPr lang="it-IT"/>
          </a:p>
        </c:txPr>
        <c:crossAx val="340431216"/>
        <c:crosses val="autoZero"/>
        <c:auto val="1"/>
        <c:lblAlgn val="ctr"/>
        <c:lblOffset val="100"/>
        <c:noMultiLvlLbl val="0"/>
      </c:catAx>
      <c:valAx>
        <c:axId val="340431216"/>
        <c:scaling>
          <c:orientation val="minMax"/>
          <c:max val="1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200">
                    <a:latin typeface="+mn-lt"/>
                  </a:defRPr>
                </a:pPr>
                <a:r>
                  <a:rPr lang="it-IT" sz="1200">
                    <a:latin typeface="+mn-lt"/>
                  </a:rPr>
                  <a:t>Complessità</a:t>
                </a:r>
              </a:p>
            </c:rich>
          </c:tx>
          <c:layout>
            <c:manualLayout>
              <c:xMode val="edge"/>
              <c:yMode val="edge"/>
              <c:x val="2.2289788642345897E-2"/>
              <c:y val="0.43832243109278796"/>
            </c:manualLayout>
          </c:layout>
          <c:overlay val="0"/>
        </c:title>
        <c:numFmt formatCode="0_);[Red]\(0\)" sourceLinked="0"/>
        <c:majorTickMark val="out"/>
        <c:minorTickMark val="none"/>
        <c:tickLblPos val="nextTo"/>
        <c:crossAx val="340435528"/>
        <c:crosses val="autoZero"/>
        <c:crossBetween val="between"/>
        <c:majorUnit val="1"/>
        <c:minorUnit val="0.5"/>
      </c:valAx>
      <c:dTable>
        <c:showHorzBorder val="1"/>
        <c:showVertBorder val="1"/>
        <c:showOutline val="1"/>
        <c:showKeys val="0"/>
      </c:dTable>
    </c:plotArea>
    <c:plotVisOnly val="1"/>
    <c:dispBlanksAs val="gap"/>
    <c:showDLblsOverMax val="0"/>
  </c:chart>
  <c:spPr>
    <a:ln w="57150">
      <a:solidFill>
        <a:srgbClr val="898989"/>
      </a:solidFill>
    </a:ln>
  </c:spPr>
  <c:printSettings>
    <c:headerFooter/>
    <c:pageMargins b="0.75000000000000311" l="0.70000000000000095" r="0.70000000000000095" t="0.75000000000000311" header="0.30000000000000032" footer="0.30000000000000032"/>
    <c:pageSetup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v>log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Engine!$B$61:$B$101</c:f>
              <c:numCache>
                <c:formatCode>0.00</c:formatCode>
                <c:ptCount val="41"/>
                <c:pt idx="0" formatCode="General">
                  <c:v>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</c:v>
                </c:pt>
                <c:pt idx="9">
                  <c:v>2.25</c:v>
                </c:pt>
                <c:pt idx="10">
                  <c:v>2.5</c:v>
                </c:pt>
                <c:pt idx="11">
                  <c:v>2.75</c:v>
                </c:pt>
                <c:pt idx="12">
                  <c:v>3</c:v>
                </c:pt>
                <c:pt idx="13">
                  <c:v>3.25</c:v>
                </c:pt>
                <c:pt idx="14">
                  <c:v>3.5</c:v>
                </c:pt>
                <c:pt idx="15">
                  <c:v>3.75</c:v>
                </c:pt>
                <c:pt idx="16">
                  <c:v>4</c:v>
                </c:pt>
                <c:pt idx="17">
                  <c:v>4.25</c:v>
                </c:pt>
                <c:pt idx="18">
                  <c:v>4.5</c:v>
                </c:pt>
                <c:pt idx="19">
                  <c:v>4.75</c:v>
                </c:pt>
                <c:pt idx="20">
                  <c:v>5</c:v>
                </c:pt>
                <c:pt idx="21">
                  <c:v>5.25</c:v>
                </c:pt>
                <c:pt idx="22">
                  <c:v>5.5</c:v>
                </c:pt>
                <c:pt idx="23">
                  <c:v>5.75</c:v>
                </c:pt>
                <c:pt idx="24">
                  <c:v>6</c:v>
                </c:pt>
                <c:pt idx="25">
                  <c:v>6.25</c:v>
                </c:pt>
                <c:pt idx="26">
                  <c:v>6.5</c:v>
                </c:pt>
                <c:pt idx="27">
                  <c:v>6.75</c:v>
                </c:pt>
                <c:pt idx="28">
                  <c:v>7</c:v>
                </c:pt>
                <c:pt idx="29">
                  <c:v>7.25</c:v>
                </c:pt>
                <c:pt idx="30">
                  <c:v>7.5</c:v>
                </c:pt>
                <c:pt idx="31">
                  <c:v>7.75</c:v>
                </c:pt>
                <c:pt idx="32">
                  <c:v>8</c:v>
                </c:pt>
                <c:pt idx="33">
                  <c:v>8.25</c:v>
                </c:pt>
                <c:pt idx="34">
                  <c:v>8.5</c:v>
                </c:pt>
                <c:pt idx="35">
                  <c:v>8.75</c:v>
                </c:pt>
                <c:pt idx="36">
                  <c:v>9</c:v>
                </c:pt>
                <c:pt idx="37">
                  <c:v>9.25</c:v>
                </c:pt>
                <c:pt idx="38">
                  <c:v>9.5</c:v>
                </c:pt>
                <c:pt idx="39">
                  <c:v>9.75</c:v>
                </c:pt>
                <c:pt idx="40">
                  <c:v>10</c:v>
                </c:pt>
              </c:numCache>
            </c:numRef>
          </c:xVal>
          <c:yVal>
            <c:numRef>
              <c:f>Engine!$C$61:$C$101</c:f>
              <c:numCache>
                <c:formatCode>0.00</c:formatCode>
                <c:ptCount val="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006-4378-A093-353A9E83F679}"/>
            </c:ext>
          </c:extLst>
        </c:ser>
        <c:ser>
          <c:idx val="1"/>
          <c:order val="1"/>
          <c:tx>
            <c:v>mat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('1'!$F$3,'1'!$F$3)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Lit>
              <c:formatCode>General</c:formatCode>
              <c:ptCount val="2"/>
              <c:pt idx="0">
                <c:v>0</c:v>
              </c:pt>
              <c:pt idx="1">
                <c:v>1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1-8006-4378-A093-353A9E83F6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5892848"/>
        <c:axId val="305889568"/>
      </c:scatterChart>
      <c:valAx>
        <c:axId val="305892848"/>
        <c:scaling>
          <c:orientation val="minMax"/>
          <c:max val="1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Maturità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305889568"/>
        <c:crosses val="autoZero"/>
        <c:crossBetween val="midCat"/>
        <c:majorUnit val="1"/>
      </c:valAx>
      <c:valAx>
        <c:axId val="305889568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Probabilità di successo (%)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3058928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1905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v>log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Engine!$B$61:$B$101</c:f>
              <c:numCache>
                <c:formatCode>0.00</c:formatCode>
                <c:ptCount val="41"/>
                <c:pt idx="0" formatCode="General">
                  <c:v>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</c:v>
                </c:pt>
                <c:pt idx="9">
                  <c:v>2.25</c:v>
                </c:pt>
                <c:pt idx="10">
                  <c:v>2.5</c:v>
                </c:pt>
                <c:pt idx="11">
                  <c:v>2.75</c:v>
                </c:pt>
                <c:pt idx="12">
                  <c:v>3</c:v>
                </c:pt>
                <c:pt idx="13">
                  <c:v>3.25</c:v>
                </c:pt>
                <c:pt idx="14">
                  <c:v>3.5</c:v>
                </c:pt>
                <c:pt idx="15">
                  <c:v>3.75</c:v>
                </c:pt>
                <c:pt idx="16">
                  <c:v>4</c:v>
                </c:pt>
                <c:pt idx="17">
                  <c:v>4.25</c:v>
                </c:pt>
                <c:pt idx="18">
                  <c:v>4.5</c:v>
                </c:pt>
                <c:pt idx="19">
                  <c:v>4.75</c:v>
                </c:pt>
                <c:pt idx="20">
                  <c:v>5</c:v>
                </c:pt>
                <c:pt idx="21">
                  <c:v>5.25</c:v>
                </c:pt>
                <c:pt idx="22">
                  <c:v>5.5</c:v>
                </c:pt>
                <c:pt idx="23">
                  <c:v>5.75</c:v>
                </c:pt>
                <c:pt idx="24">
                  <c:v>6</c:v>
                </c:pt>
                <c:pt idx="25">
                  <c:v>6.25</c:v>
                </c:pt>
                <c:pt idx="26">
                  <c:v>6.5</c:v>
                </c:pt>
                <c:pt idx="27">
                  <c:v>6.75</c:v>
                </c:pt>
                <c:pt idx="28">
                  <c:v>7</c:v>
                </c:pt>
                <c:pt idx="29">
                  <c:v>7.25</c:v>
                </c:pt>
                <c:pt idx="30">
                  <c:v>7.5</c:v>
                </c:pt>
                <c:pt idx="31">
                  <c:v>7.75</c:v>
                </c:pt>
                <c:pt idx="32">
                  <c:v>8</c:v>
                </c:pt>
                <c:pt idx="33">
                  <c:v>8.25</c:v>
                </c:pt>
                <c:pt idx="34">
                  <c:v>8.5</c:v>
                </c:pt>
                <c:pt idx="35">
                  <c:v>8.75</c:v>
                </c:pt>
                <c:pt idx="36">
                  <c:v>9</c:v>
                </c:pt>
                <c:pt idx="37">
                  <c:v>9.25</c:v>
                </c:pt>
                <c:pt idx="38">
                  <c:v>9.5</c:v>
                </c:pt>
                <c:pt idx="39">
                  <c:v>9.75</c:v>
                </c:pt>
                <c:pt idx="40">
                  <c:v>10</c:v>
                </c:pt>
              </c:numCache>
            </c:numRef>
          </c:xVal>
          <c:yVal>
            <c:numRef>
              <c:f>Engine!$C$61:$C$101</c:f>
              <c:numCache>
                <c:formatCode>0.00</c:formatCode>
                <c:ptCount val="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49C-4EA4-9DD0-7ECC3512E3FB}"/>
            </c:ext>
          </c:extLst>
        </c:ser>
        <c:ser>
          <c:idx val="1"/>
          <c:order val="1"/>
          <c:tx>
            <c:v>mat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('2'!$F$3,'2'!$F$3)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Lit>
              <c:formatCode>General</c:formatCode>
              <c:ptCount val="2"/>
              <c:pt idx="0">
                <c:v>0</c:v>
              </c:pt>
              <c:pt idx="1">
                <c:v>1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1-149C-4EA4-9DD0-7ECC3512E3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5892848"/>
        <c:axId val="305889568"/>
      </c:scatterChart>
      <c:valAx>
        <c:axId val="305892848"/>
        <c:scaling>
          <c:orientation val="minMax"/>
          <c:max val="1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Maturità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305889568"/>
        <c:crosses val="autoZero"/>
        <c:crossBetween val="midCat"/>
        <c:majorUnit val="1"/>
      </c:valAx>
      <c:valAx>
        <c:axId val="305889568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Probabilità di successo (%)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3058928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1905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v>log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Engine!$B$61:$B$101</c:f>
              <c:numCache>
                <c:formatCode>0.00</c:formatCode>
                <c:ptCount val="41"/>
                <c:pt idx="0" formatCode="General">
                  <c:v>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</c:v>
                </c:pt>
                <c:pt idx="9">
                  <c:v>2.25</c:v>
                </c:pt>
                <c:pt idx="10">
                  <c:v>2.5</c:v>
                </c:pt>
                <c:pt idx="11">
                  <c:v>2.75</c:v>
                </c:pt>
                <c:pt idx="12">
                  <c:v>3</c:v>
                </c:pt>
                <c:pt idx="13">
                  <c:v>3.25</c:v>
                </c:pt>
                <c:pt idx="14">
                  <c:v>3.5</c:v>
                </c:pt>
                <c:pt idx="15">
                  <c:v>3.75</c:v>
                </c:pt>
                <c:pt idx="16">
                  <c:v>4</c:v>
                </c:pt>
                <c:pt idx="17">
                  <c:v>4.25</c:v>
                </c:pt>
                <c:pt idx="18">
                  <c:v>4.5</c:v>
                </c:pt>
                <c:pt idx="19">
                  <c:v>4.75</c:v>
                </c:pt>
                <c:pt idx="20">
                  <c:v>5</c:v>
                </c:pt>
                <c:pt idx="21">
                  <c:v>5.25</c:v>
                </c:pt>
                <c:pt idx="22">
                  <c:v>5.5</c:v>
                </c:pt>
                <c:pt idx="23">
                  <c:v>5.75</c:v>
                </c:pt>
                <c:pt idx="24">
                  <c:v>6</c:v>
                </c:pt>
                <c:pt idx="25">
                  <c:v>6.25</c:v>
                </c:pt>
                <c:pt idx="26">
                  <c:v>6.5</c:v>
                </c:pt>
                <c:pt idx="27">
                  <c:v>6.75</c:v>
                </c:pt>
                <c:pt idx="28">
                  <c:v>7</c:v>
                </c:pt>
                <c:pt idx="29">
                  <c:v>7.25</c:v>
                </c:pt>
                <c:pt idx="30">
                  <c:v>7.5</c:v>
                </c:pt>
                <c:pt idx="31">
                  <c:v>7.75</c:v>
                </c:pt>
                <c:pt idx="32">
                  <c:v>8</c:v>
                </c:pt>
                <c:pt idx="33">
                  <c:v>8.25</c:v>
                </c:pt>
                <c:pt idx="34">
                  <c:v>8.5</c:v>
                </c:pt>
                <c:pt idx="35">
                  <c:v>8.75</c:v>
                </c:pt>
                <c:pt idx="36">
                  <c:v>9</c:v>
                </c:pt>
                <c:pt idx="37">
                  <c:v>9.25</c:v>
                </c:pt>
                <c:pt idx="38">
                  <c:v>9.5</c:v>
                </c:pt>
                <c:pt idx="39">
                  <c:v>9.75</c:v>
                </c:pt>
                <c:pt idx="40">
                  <c:v>10</c:v>
                </c:pt>
              </c:numCache>
            </c:numRef>
          </c:xVal>
          <c:yVal>
            <c:numRef>
              <c:f>Engine!$C$61:$C$101</c:f>
              <c:numCache>
                <c:formatCode>0.00</c:formatCode>
                <c:ptCount val="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1E2-416D-A96B-AD80BC7C892C}"/>
            </c:ext>
          </c:extLst>
        </c:ser>
        <c:ser>
          <c:idx val="1"/>
          <c:order val="1"/>
          <c:tx>
            <c:v>mat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('3'!$F$3,'3'!$F$3)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Lit>
              <c:formatCode>General</c:formatCode>
              <c:ptCount val="2"/>
              <c:pt idx="0">
                <c:v>0</c:v>
              </c:pt>
              <c:pt idx="1">
                <c:v>1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1-61E2-416D-A96B-AD80BC7C89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5892848"/>
        <c:axId val="305889568"/>
      </c:scatterChart>
      <c:valAx>
        <c:axId val="305892848"/>
        <c:scaling>
          <c:orientation val="minMax"/>
          <c:max val="1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Maturità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305889568"/>
        <c:crosses val="autoZero"/>
        <c:crossBetween val="midCat"/>
        <c:majorUnit val="1"/>
      </c:valAx>
      <c:valAx>
        <c:axId val="305889568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Probabilità di successo (%)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3058928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1905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v>log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Engine!$B$61:$B$101</c:f>
              <c:numCache>
                <c:formatCode>0.00</c:formatCode>
                <c:ptCount val="41"/>
                <c:pt idx="0" formatCode="General">
                  <c:v>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</c:v>
                </c:pt>
                <c:pt idx="9">
                  <c:v>2.25</c:v>
                </c:pt>
                <c:pt idx="10">
                  <c:v>2.5</c:v>
                </c:pt>
                <c:pt idx="11">
                  <c:v>2.75</c:v>
                </c:pt>
                <c:pt idx="12">
                  <c:v>3</c:v>
                </c:pt>
                <c:pt idx="13">
                  <c:v>3.25</c:v>
                </c:pt>
                <c:pt idx="14">
                  <c:v>3.5</c:v>
                </c:pt>
                <c:pt idx="15">
                  <c:v>3.75</c:v>
                </c:pt>
                <c:pt idx="16">
                  <c:v>4</c:v>
                </c:pt>
                <c:pt idx="17">
                  <c:v>4.25</c:v>
                </c:pt>
                <c:pt idx="18">
                  <c:v>4.5</c:v>
                </c:pt>
                <c:pt idx="19">
                  <c:v>4.75</c:v>
                </c:pt>
                <c:pt idx="20">
                  <c:v>5</c:v>
                </c:pt>
                <c:pt idx="21">
                  <c:v>5.25</c:v>
                </c:pt>
                <c:pt idx="22">
                  <c:v>5.5</c:v>
                </c:pt>
                <c:pt idx="23">
                  <c:v>5.75</c:v>
                </c:pt>
                <c:pt idx="24">
                  <c:v>6</c:v>
                </c:pt>
                <c:pt idx="25">
                  <c:v>6.25</c:v>
                </c:pt>
                <c:pt idx="26">
                  <c:v>6.5</c:v>
                </c:pt>
                <c:pt idx="27">
                  <c:v>6.75</c:v>
                </c:pt>
                <c:pt idx="28">
                  <c:v>7</c:v>
                </c:pt>
                <c:pt idx="29">
                  <c:v>7.25</c:v>
                </c:pt>
                <c:pt idx="30">
                  <c:v>7.5</c:v>
                </c:pt>
                <c:pt idx="31">
                  <c:v>7.75</c:v>
                </c:pt>
                <c:pt idx="32">
                  <c:v>8</c:v>
                </c:pt>
                <c:pt idx="33">
                  <c:v>8.25</c:v>
                </c:pt>
                <c:pt idx="34">
                  <c:v>8.5</c:v>
                </c:pt>
                <c:pt idx="35">
                  <c:v>8.75</c:v>
                </c:pt>
                <c:pt idx="36">
                  <c:v>9</c:v>
                </c:pt>
                <c:pt idx="37">
                  <c:v>9.25</c:v>
                </c:pt>
                <c:pt idx="38">
                  <c:v>9.5</c:v>
                </c:pt>
                <c:pt idx="39">
                  <c:v>9.75</c:v>
                </c:pt>
                <c:pt idx="40">
                  <c:v>10</c:v>
                </c:pt>
              </c:numCache>
            </c:numRef>
          </c:xVal>
          <c:yVal>
            <c:numRef>
              <c:f>Engine!$C$61:$C$101</c:f>
              <c:numCache>
                <c:formatCode>0.00</c:formatCode>
                <c:ptCount val="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612-4A65-9F96-6B9054D07D93}"/>
            </c:ext>
          </c:extLst>
        </c:ser>
        <c:ser>
          <c:idx val="1"/>
          <c:order val="1"/>
          <c:tx>
            <c:v>mat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('4'!$F$3,'4'!$F$3)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Lit>
              <c:formatCode>General</c:formatCode>
              <c:ptCount val="2"/>
              <c:pt idx="0">
                <c:v>0</c:v>
              </c:pt>
              <c:pt idx="1">
                <c:v>1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1-3612-4A65-9F96-6B9054D07D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5892848"/>
        <c:axId val="305889568"/>
      </c:scatterChart>
      <c:valAx>
        <c:axId val="305892848"/>
        <c:scaling>
          <c:orientation val="minMax"/>
          <c:max val="1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Maturità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305889568"/>
        <c:crosses val="autoZero"/>
        <c:crossBetween val="midCat"/>
        <c:majorUnit val="1"/>
      </c:valAx>
      <c:valAx>
        <c:axId val="305889568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Probabilità di successo (%)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3058928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1905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v>log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Engine!$B$61:$B$101</c:f>
              <c:numCache>
                <c:formatCode>0.00</c:formatCode>
                <c:ptCount val="41"/>
                <c:pt idx="0" formatCode="General">
                  <c:v>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</c:v>
                </c:pt>
                <c:pt idx="9">
                  <c:v>2.25</c:v>
                </c:pt>
                <c:pt idx="10">
                  <c:v>2.5</c:v>
                </c:pt>
                <c:pt idx="11">
                  <c:v>2.75</c:v>
                </c:pt>
                <c:pt idx="12">
                  <c:v>3</c:v>
                </c:pt>
                <c:pt idx="13">
                  <c:v>3.25</c:v>
                </c:pt>
                <c:pt idx="14">
                  <c:v>3.5</c:v>
                </c:pt>
                <c:pt idx="15">
                  <c:v>3.75</c:v>
                </c:pt>
                <c:pt idx="16">
                  <c:v>4</c:v>
                </c:pt>
                <c:pt idx="17">
                  <c:v>4.25</c:v>
                </c:pt>
                <c:pt idx="18">
                  <c:v>4.5</c:v>
                </c:pt>
                <c:pt idx="19">
                  <c:v>4.75</c:v>
                </c:pt>
                <c:pt idx="20">
                  <c:v>5</c:v>
                </c:pt>
                <c:pt idx="21">
                  <c:v>5.25</c:v>
                </c:pt>
                <c:pt idx="22">
                  <c:v>5.5</c:v>
                </c:pt>
                <c:pt idx="23">
                  <c:v>5.75</c:v>
                </c:pt>
                <c:pt idx="24">
                  <c:v>6</c:v>
                </c:pt>
                <c:pt idx="25">
                  <c:v>6.25</c:v>
                </c:pt>
                <c:pt idx="26">
                  <c:v>6.5</c:v>
                </c:pt>
                <c:pt idx="27">
                  <c:v>6.75</c:v>
                </c:pt>
                <c:pt idx="28">
                  <c:v>7</c:v>
                </c:pt>
                <c:pt idx="29">
                  <c:v>7.25</c:v>
                </c:pt>
                <c:pt idx="30">
                  <c:v>7.5</c:v>
                </c:pt>
                <c:pt idx="31">
                  <c:v>7.75</c:v>
                </c:pt>
                <c:pt idx="32">
                  <c:v>8</c:v>
                </c:pt>
                <c:pt idx="33">
                  <c:v>8.25</c:v>
                </c:pt>
                <c:pt idx="34">
                  <c:v>8.5</c:v>
                </c:pt>
                <c:pt idx="35">
                  <c:v>8.75</c:v>
                </c:pt>
                <c:pt idx="36">
                  <c:v>9</c:v>
                </c:pt>
                <c:pt idx="37">
                  <c:v>9.25</c:v>
                </c:pt>
                <c:pt idx="38">
                  <c:v>9.5</c:v>
                </c:pt>
                <c:pt idx="39">
                  <c:v>9.75</c:v>
                </c:pt>
                <c:pt idx="40">
                  <c:v>10</c:v>
                </c:pt>
              </c:numCache>
            </c:numRef>
          </c:xVal>
          <c:yVal>
            <c:numRef>
              <c:f>Engine!$C$61:$C$101</c:f>
              <c:numCache>
                <c:formatCode>0.00</c:formatCode>
                <c:ptCount val="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BAA-440C-941D-40265B7ED9A5}"/>
            </c:ext>
          </c:extLst>
        </c:ser>
        <c:ser>
          <c:idx val="1"/>
          <c:order val="1"/>
          <c:tx>
            <c:v>mat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('5'!$F$3,'5'!$F$3)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Lit>
              <c:formatCode>General</c:formatCode>
              <c:ptCount val="2"/>
              <c:pt idx="0">
                <c:v>0</c:v>
              </c:pt>
              <c:pt idx="1">
                <c:v>1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1-9BAA-440C-941D-40265B7ED9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5892848"/>
        <c:axId val="305889568"/>
      </c:scatterChart>
      <c:valAx>
        <c:axId val="305892848"/>
        <c:scaling>
          <c:orientation val="minMax"/>
          <c:max val="1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Maturità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305889568"/>
        <c:crosses val="autoZero"/>
        <c:crossBetween val="midCat"/>
        <c:majorUnit val="1"/>
      </c:valAx>
      <c:valAx>
        <c:axId val="305889568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Probabilità di successo (%)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3058928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1905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v>log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Engine!$B$61:$B$101</c:f>
              <c:numCache>
                <c:formatCode>0.00</c:formatCode>
                <c:ptCount val="41"/>
                <c:pt idx="0" formatCode="General">
                  <c:v>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</c:v>
                </c:pt>
                <c:pt idx="9">
                  <c:v>2.25</c:v>
                </c:pt>
                <c:pt idx="10">
                  <c:v>2.5</c:v>
                </c:pt>
                <c:pt idx="11">
                  <c:v>2.75</c:v>
                </c:pt>
                <c:pt idx="12">
                  <c:v>3</c:v>
                </c:pt>
                <c:pt idx="13">
                  <c:v>3.25</c:v>
                </c:pt>
                <c:pt idx="14">
                  <c:v>3.5</c:v>
                </c:pt>
                <c:pt idx="15">
                  <c:v>3.75</c:v>
                </c:pt>
                <c:pt idx="16">
                  <c:v>4</c:v>
                </c:pt>
                <c:pt idx="17">
                  <c:v>4.25</c:v>
                </c:pt>
                <c:pt idx="18">
                  <c:v>4.5</c:v>
                </c:pt>
                <c:pt idx="19">
                  <c:v>4.75</c:v>
                </c:pt>
                <c:pt idx="20">
                  <c:v>5</c:v>
                </c:pt>
                <c:pt idx="21">
                  <c:v>5.25</c:v>
                </c:pt>
                <c:pt idx="22">
                  <c:v>5.5</c:v>
                </c:pt>
                <c:pt idx="23">
                  <c:v>5.75</c:v>
                </c:pt>
                <c:pt idx="24">
                  <c:v>6</c:v>
                </c:pt>
                <c:pt idx="25">
                  <c:v>6.25</c:v>
                </c:pt>
                <c:pt idx="26">
                  <c:v>6.5</c:v>
                </c:pt>
                <c:pt idx="27">
                  <c:v>6.75</c:v>
                </c:pt>
                <c:pt idx="28">
                  <c:v>7</c:v>
                </c:pt>
                <c:pt idx="29">
                  <c:v>7.25</c:v>
                </c:pt>
                <c:pt idx="30">
                  <c:v>7.5</c:v>
                </c:pt>
                <c:pt idx="31">
                  <c:v>7.75</c:v>
                </c:pt>
                <c:pt idx="32">
                  <c:v>8</c:v>
                </c:pt>
                <c:pt idx="33">
                  <c:v>8.25</c:v>
                </c:pt>
                <c:pt idx="34">
                  <c:v>8.5</c:v>
                </c:pt>
                <c:pt idx="35">
                  <c:v>8.75</c:v>
                </c:pt>
                <c:pt idx="36">
                  <c:v>9</c:v>
                </c:pt>
                <c:pt idx="37">
                  <c:v>9.25</c:v>
                </c:pt>
                <c:pt idx="38">
                  <c:v>9.5</c:v>
                </c:pt>
                <c:pt idx="39">
                  <c:v>9.75</c:v>
                </c:pt>
                <c:pt idx="40">
                  <c:v>10</c:v>
                </c:pt>
              </c:numCache>
            </c:numRef>
          </c:xVal>
          <c:yVal>
            <c:numRef>
              <c:f>Engine!$C$61:$C$101</c:f>
              <c:numCache>
                <c:formatCode>0.00</c:formatCode>
                <c:ptCount val="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47E-4F1B-A4C5-FAC48E00D9E7}"/>
            </c:ext>
          </c:extLst>
        </c:ser>
        <c:ser>
          <c:idx val="1"/>
          <c:order val="1"/>
          <c:tx>
            <c:v>mat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('6'!$F$3,'6'!$F$3)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Lit>
              <c:formatCode>General</c:formatCode>
              <c:ptCount val="2"/>
              <c:pt idx="0">
                <c:v>0</c:v>
              </c:pt>
              <c:pt idx="1">
                <c:v>1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1-847E-4F1B-A4C5-FAC48E00D9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5892848"/>
        <c:axId val="305889568"/>
      </c:scatterChart>
      <c:valAx>
        <c:axId val="305892848"/>
        <c:scaling>
          <c:orientation val="minMax"/>
          <c:max val="1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Maturità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305889568"/>
        <c:crosses val="autoZero"/>
        <c:crossBetween val="midCat"/>
        <c:majorUnit val="1"/>
      </c:valAx>
      <c:valAx>
        <c:axId val="305889568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Probabilità di successo (%)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3058928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1905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v>log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Engine!$B$61:$B$101</c:f>
              <c:numCache>
                <c:formatCode>0.00</c:formatCode>
                <c:ptCount val="41"/>
                <c:pt idx="0" formatCode="General">
                  <c:v>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</c:v>
                </c:pt>
                <c:pt idx="9">
                  <c:v>2.25</c:v>
                </c:pt>
                <c:pt idx="10">
                  <c:v>2.5</c:v>
                </c:pt>
                <c:pt idx="11">
                  <c:v>2.75</c:v>
                </c:pt>
                <c:pt idx="12">
                  <c:v>3</c:v>
                </c:pt>
                <c:pt idx="13">
                  <c:v>3.25</c:v>
                </c:pt>
                <c:pt idx="14">
                  <c:v>3.5</c:v>
                </c:pt>
                <c:pt idx="15">
                  <c:v>3.75</c:v>
                </c:pt>
                <c:pt idx="16">
                  <c:v>4</c:v>
                </c:pt>
                <c:pt idx="17">
                  <c:v>4.25</c:v>
                </c:pt>
                <c:pt idx="18">
                  <c:v>4.5</c:v>
                </c:pt>
                <c:pt idx="19">
                  <c:v>4.75</c:v>
                </c:pt>
                <c:pt idx="20">
                  <c:v>5</c:v>
                </c:pt>
                <c:pt idx="21">
                  <c:v>5.25</c:v>
                </c:pt>
                <c:pt idx="22">
                  <c:v>5.5</c:v>
                </c:pt>
                <c:pt idx="23">
                  <c:v>5.75</c:v>
                </c:pt>
                <c:pt idx="24">
                  <c:v>6</c:v>
                </c:pt>
                <c:pt idx="25">
                  <c:v>6.25</c:v>
                </c:pt>
                <c:pt idx="26">
                  <c:v>6.5</c:v>
                </c:pt>
                <c:pt idx="27">
                  <c:v>6.75</c:v>
                </c:pt>
                <c:pt idx="28">
                  <c:v>7</c:v>
                </c:pt>
                <c:pt idx="29">
                  <c:v>7.25</c:v>
                </c:pt>
                <c:pt idx="30">
                  <c:v>7.5</c:v>
                </c:pt>
                <c:pt idx="31">
                  <c:v>7.75</c:v>
                </c:pt>
                <c:pt idx="32">
                  <c:v>8</c:v>
                </c:pt>
                <c:pt idx="33">
                  <c:v>8.25</c:v>
                </c:pt>
                <c:pt idx="34">
                  <c:v>8.5</c:v>
                </c:pt>
                <c:pt idx="35">
                  <c:v>8.75</c:v>
                </c:pt>
                <c:pt idx="36">
                  <c:v>9</c:v>
                </c:pt>
                <c:pt idx="37">
                  <c:v>9.25</c:v>
                </c:pt>
                <c:pt idx="38">
                  <c:v>9.5</c:v>
                </c:pt>
                <c:pt idx="39">
                  <c:v>9.75</c:v>
                </c:pt>
                <c:pt idx="40">
                  <c:v>10</c:v>
                </c:pt>
              </c:numCache>
            </c:numRef>
          </c:xVal>
          <c:yVal>
            <c:numRef>
              <c:f>Engine!$C$61:$C$101</c:f>
              <c:numCache>
                <c:formatCode>0.00</c:formatCode>
                <c:ptCount val="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380-45B4-AACD-94CCB8DF1134}"/>
            </c:ext>
          </c:extLst>
        </c:ser>
        <c:ser>
          <c:idx val="1"/>
          <c:order val="1"/>
          <c:tx>
            <c:v>mat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('7'!$F$3,'7'!$F$3)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Lit>
              <c:formatCode>General</c:formatCode>
              <c:ptCount val="2"/>
              <c:pt idx="0">
                <c:v>0</c:v>
              </c:pt>
              <c:pt idx="1">
                <c:v>1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1-9380-45B4-AACD-94CCB8DF11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5892848"/>
        <c:axId val="305889568"/>
      </c:scatterChart>
      <c:valAx>
        <c:axId val="305892848"/>
        <c:scaling>
          <c:orientation val="minMax"/>
          <c:max val="1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Maturità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305889568"/>
        <c:crosses val="autoZero"/>
        <c:crossBetween val="midCat"/>
        <c:majorUnit val="1"/>
      </c:valAx>
      <c:valAx>
        <c:axId val="305889568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Probabilità di successo (%)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3058928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1905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v>log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Engine!$B$61:$B$101</c:f>
              <c:numCache>
                <c:formatCode>0.00</c:formatCode>
                <c:ptCount val="41"/>
                <c:pt idx="0" formatCode="General">
                  <c:v>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</c:v>
                </c:pt>
                <c:pt idx="9">
                  <c:v>2.25</c:v>
                </c:pt>
                <c:pt idx="10">
                  <c:v>2.5</c:v>
                </c:pt>
                <c:pt idx="11">
                  <c:v>2.75</c:v>
                </c:pt>
                <c:pt idx="12">
                  <c:v>3</c:v>
                </c:pt>
                <c:pt idx="13">
                  <c:v>3.25</c:v>
                </c:pt>
                <c:pt idx="14">
                  <c:v>3.5</c:v>
                </c:pt>
                <c:pt idx="15">
                  <c:v>3.75</c:v>
                </c:pt>
                <c:pt idx="16">
                  <c:v>4</c:v>
                </c:pt>
                <c:pt idx="17">
                  <c:v>4.25</c:v>
                </c:pt>
                <c:pt idx="18">
                  <c:v>4.5</c:v>
                </c:pt>
                <c:pt idx="19">
                  <c:v>4.75</c:v>
                </c:pt>
                <c:pt idx="20">
                  <c:v>5</c:v>
                </c:pt>
                <c:pt idx="21">
                  <c:v>5.25</c:v>
                </c:pt>
                <c:pt idx="22">
                  <c:v>5.5</c:v>
                </c:pt>
                <c:pt idx="23">
                  <c:v>5.75</c:v>
                </c:pt>
                <c:pt idx="24">
                  <c:v>6</c:v>
                </c:pt>
                <c:pt idx="25">
                  <c:v>6.25</c:v>
                </c:pt>
                <c:pt idx="26">
                  <c:v>6.5</c:v>
                </c:pt>
                <c:pt idx="27">
                  <c:v>6.75</c:v>
                </c:pt>
                <c:pt idx="28">
                  <c:v>7</c:v>
                </c:pt>
                <c:pt idx="29">
                  <c:v>7.25</c:v>
                </c:pt>
                <c:pt idx="30">
                  <c:v>7.5</c:v>
                </c:pt>
                <c:pt idx="31">
                  <c:v>7.75</c:v>
                </c:pt>
                <c:pt idx="32">
                  <c:v>8</c:v>
                </c:pt>
                <c:pt idx="33">
                  <c:v>8.25</c:v>
                </c:pt>
                <c:pt idx="34">
                  <c:v>8.5</c:v>
                </c:pt>
                <c:pt idx="35">
                  <c:v>8.75</c:v>
                </c:pt>
                <c:pt idx="36">
                  <c:v>9</c:v>
                </c:pt>
                <c:pt idx="37">
                  <c:v>9.25</c:v>
                </c:pt>
                <c:pt idx="38">
                  <c:v>9.5</c:v>
                </c:pt>
                <c:pt idx="39">
                  <c:v>9.75</c:v>
                </c:pt>
                <c:pt idx="40">
                  <c:v>10</c:v>
                </c:pt>
              </c:numCache>
            </c:numRef>
          </c:xVal>
          <c:yVal>
            <c:numRef>
              <c:f>Engine!$C$61:$C$101</c:f>
              <c:numCache>
                <c:formatCode>0.00</c:formatCode>
                <c:ptCount val="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F02-4856-9E33-5542F7D7AD23}"/>
            </c:ext>
          </c:extLst>
        </c:ser>
        <c:ser>
          <c:idx val="1"/>
          <c:order val="1"/>
          <c:tx>
            <c:v>mat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('8'!$F$3,'8'!$F$3)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Lit>
              <c:formatCode>General</c:formatCode>
              <c:ptCount val="2"/>
              <c:pt idx="0">
                <c:v>0</c:v>
              </c:pt>
              <c:pt idx="1">
                <c:v>1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1-BF02-4856-9E33-5542F7D7AD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5892848"/>
        <c:axId val="305889568"/>
      </c:scatterChart>
      <c:valAx>
        <c:axId val="305892848"/>
        <c:scaling>
          <c:orientation val="minMax"/>
          <c:max val="1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Maturità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305889568"/>
        <c:crosses val="autoZero"/>
        <c:crossBetween val="midCat"/>
        <c:majorUnit val="1"/>
      </c:valAx>
      <c:valAx>
        <c:axId val="305889568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Probabilità di successo (%)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3058928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1905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v>log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Engine!$B$61:$B$101</c:f>
              <c:numCache>
                <c:formatCode>0.00</c:formatCode>
                <c:ptCount val="41"/>
                <c:pt idx="0" formatCode="General">
                  <c:v>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</c:v>
                </c:pt>
                <c:pt idx="9">
                  <c:v>2.25</c:v>
                </c:pt>
                <c:pt idx="10">
                  <c:v>2.5</c:v>
                </c:pt>
                <c:pt idx="11">
                  <c:v>2.75</c:v>
                </c:pt>
                <c:pt idx="12">
                  <c:v>3</c:v>
                </c:pt>
                <c:pt idx="13">
                  <c:v>3.25</c:v>
                </c:pt>
                <c:pt idx="14">
                  <c:v>3.5</c:v>
                </c:pt>
                <c:pt idx="15">
                  <c:v>3.75</c:v>
                </c:pt>
                <c:pt idx="16">
                  <c:v>4</c:v>
                </c:pt>
                <c:pt idx="17">
                  <c:v>4.25</c:v>
                </c:pt>
                <c:pt idx="18">
                  <c:v>4.5</c:v>
                </c:pt>
                <c:pt idx="19">
                  <c:v>4.75</c:v>
                </c:pt>
                <c:pt idx="20">
                  <c:v>5</c:v>
                </c:pt>
                <c:pt idx="21">
                  <c:v>5.25</c:v>
                </c:pt>
                <c:pt idx="22">
                  <c:v>5.5</c:v>
                </c:pt>
                <c:pt idx="23">
                  <c:v>5.75</c:v>
                </c:pt>
                <c:pt idx="24">
                  <c:v>6</c:v>
                </c:pt>
                <c:pt idx="25">
                  <c:v>6.25</c:v>
                </c:pt>
                <c:pt idx="26">
                  <c:v>6.5</c:v>
                </c:pt>
                <c:pt idx="27">
                  <c:v>6.75</c:v>
                </c:pt>
                <c:pt idx="28">
                  <c:v>7</c:v>
                </c:pt>
                <c:pt idx="29">
                  <c:v>7.25</c:v>
                </c:pt>
                <c:pt idx="30">
                  <c:v>7.5</c:v>
                </c:pt>
                <c:pt idx="31">
                  <c:v>7.75</c:v>
                </c:pt>
                <c:pt idx="32">
                  <c:v>8</c:v>
                </c:pt>
                <c:pt idx="33">
                  <c:v>8.25</c:v>
                </c:pt>
                <c:pt idx="34">
                  <c:v>8.5</c:v>
                </c:pt>
                <c:pt idx="35">
                  <c:v>8.75</c:v>
                </c:pt>
                <c:pt idx="36">
                  <c:v>9</c:v>
                </c:pt>
                <c:pt idx="37">
                  <c:v>9.25</c:v>
                </c:pt>
                <c:pt idx="38">
                  <c:v>9.5</c:v>
                </c:pt>
                <c:pt idx="39">
                  <c:v>9.75</c:v>
                </c:pt>
                <c:pt idx="40">
                  <c:v>10</c:v>
                </c:pt>
              </c:numCache>
            </c:numRef>
          </c:xVal>
          <c:yVal>
            <c:numRef>
              <c:f>Engine!$C$61:$C$101</c:f>
              <c:numCache>
                <c:formatCode>0.00</c:formatCode>
                <c:ptCount val="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AAC-40FB-A0B4-419AE48E8DE5}"/>
            </c:ext>
          </c:extLst>
        </c:ser>
        <c:ser>
          <c:idx val="1"/>
          <c:order val="1"/>
          <c:tx>
            <c:v>mat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('9'!$F$3,'9'!$F$3)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Lit>
              <c:formatCode>General</c:formatCode>
              <c:ptCount val="2"/>
              <c:pt idx="0">
                <c:v>0</c:v>
              </c:pt>
              <c:pt idx="1">
                <c:v>1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1-6AAC-40FB-A0B4-419AE48E8D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5892848"/>
        <c:axId val="305889568"/>
      </c:scatterChart>
      <c:valAx>
        <c:axId val="305892848"/>
        <c:scaling>
          <c:orientation val="minMax"/>
          <c:max val="1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Maturità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305889568"/>
        <c:crosses val="autoZero"/>
        <c:crossBetween val="midCat"/>
        <c:majorUnit val="1"/>
      </c:valAx>
      <c:valAx>
        <c:axId val="305889568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Probabilità di successo (%)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3058928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1905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v>log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Engine!$B$61:$B$101</c:f>
              <c:numCache>
                <c:formatCode>0.00</c:formatCode>
                <c:ptCount val="41"/>
                <c:pt idx="0" formatCode="General">
                  <c:v>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</c:v>
                </c:pt>
                <c:pt idx="9">
                  <c:v>2.25</c:v>
                </c:pt>
                <c:pt idx="10">
                  <c:v>2.5</c:v>
                </c:pt>
                <c:pt idx="11">
                  <c:v>2.75</c:v>
                </c:pt>
                <c:pt idx="12">
                  <c:v>3</c:v>
                </c:pt>
                <c:pt idx="13">
                  <c:v>3.25</c:v>
                </c:pt>
                <c:pt idx="14">
                  <c:v>3.5</c:v>
                </c:pt>
                <c:pt idx="15">
                  <c:v>3.75</c:v>
                </c:pt>
                <c:pt idx="16">
                  <c:v>4</c:v>
                </c:pt>
                <c:pt idx="17">
                  <c:v>4.25</c:v>
                </c:pt>
                <c:pt idx="18">
                  <c:v>4.5</c:v>
                </c:pt>
                <c:pt idx="19">
                  <c:v>4.75</c:v>
                </c:pt>
                <c:pt idx="20">
                  <c:v>5</c:v>
                </c:pt>
                <c:pt idx="21">
                  <c:v>5.25</c:v>
                </c:pt>
                <c:pt idx="22">
                  <c:v>5.5</c:v>
                </c:pt>
                <c:pt idx="23">
                  <c:v>5.75</c:v>
                </c:pt>
                <c:pt idx="24">
                  <c:v>6</c:v>
                </c:pt>
                <c:pt idx="25">
                  <c:v>6.25</c:v>
                </c:pt>
                <c:pt idx="26">
                  <c:v>6.5</c:v>
                </c:pt>
                <c:pt idx="27">
                  <c:v>6.75</c:v>
                </c:pt>
                <c:pt idx="28">
                  <c:v>7</c:v>
                </c:pt>
                <c:pt idx="29">
                  <c:v>7.25</c:v>
                </c:pt>
                <c:pt idx="30">
                  <c:v>7.5</c:v>
                </c:pt>
                <c:pt idx="31">
                  <c:v>7.75</c:v>
                </c:pt>
                <c:pt idx="32">
                  <c:v>8</c:v>
                </c:pt>
                <c:pt idx="33">
                  <c:v>8.25</c:v>
                </c:pt>
                <c:pt idx="34">
                  <c:v>8.5</c:v>
                </c:pt>
                <c:pt idx="35">
                  <c:v>8.75</c:v>
                </c:pt>
                <c:pt idx="36">
                  <c:v>9</c:v>
                </c:pt>
                <c:pt idx="37">
                  <c:v>9.25</c:v>
                </c:pt>
                <c:pt idx="38">
                  <c:v>9.5</c:v>
                </c:pt>
                <c:pt idx="39">
                  <c:v>9.75</c:v>
                </c:pt>
                <c:pt idx="40">
                  <c:v>10</c:v>
                </c:pt>
              </c:numCache>
            </c:numRef>
          </c:xVal>
          <c:yVal>
            <c:numRef>
              <c:f>Engine!$C$61:$C$101</c:f>
              <c:numCache>
                <c:formatCode>0.00</c:formatCode>
                <c:ptCount val="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B84-432B-A684-F25DA9F0A495}"/>
            </c:ext>
          </c:extLst>
        </c:ser>
        <c:ser>
          <c:idx val="1"/>
          <c:order val="1"/>
          <c:tx>
            <c:v>mat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('10'!$F$3,'10'!$F$3)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Lit>
              <c:formatCode>General</c:formatCode>
              <c:ptCount val="2"/>
              <c:pt idx="0">
                <c:v>0</c:v>
              </c:pt>
              <c:pt idx="1">
                <c:v>1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1-CB84-432B-A684-F25DA9F0A4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5892848"/>
        <c:axId val="305889568"/>
      </c:scatterChart>
      <c:valAx>
        <c:axId val="305892848"/>
        <c:scaling>
          <c:orientation val="minMax"/>
          <c:max val="1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Maturità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305889568"/>
        <c:crosses val="autoZero"/>
        <c:crossBetween val="midCat"/>
        <c:majorUnit val="1"/>
      </c:valAx>
      <c:valAx>
        <c:axId val="305889568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Probabilità di successo (%)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3058928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1905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v>log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Engine!$B$61:$B$101</c:f>
              <c:numCache>
                <c:formatCode>0.00</c:formatCode>
                <c:ptCount val="41"/>
                <c:pt idx="0" formatCode="General">
                  <c:v>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</c:v>
                </c:pt>
                <c:pt idx="9">
                  <c:v>2.25</c:v>
                </c:pt>
                <c:pt idx="10">
                  <c:v>2.5</c:v>
                </c:pt>
                <c:pt idx="11">
                  <c:v>2.75</c:v>
                </c:pt>
                <c:pt idx="12">
                  <c:v>3</c:v>
                </c:pt>
                <c:pt idx="13">
                  <c:v>3.25</c:v>
                </c:pt>
                <c:pt idx="14">
                  <c:v>3.5</c:v>
                </c:pt>
                <c:pt idx="15">
                  <c:v>3.75</c:v>
                </c:pt>
                <c:pt idx="16">
                  <c:v>4</c:v>
                </c:pt>
                <c:pt idx="17">
                  <c:v>4.25</c:v>
                </c:pt>
                <c:pt idx="18">
                  <c:v>4.5</c:v>
                </c:pt>
                <c:pt idx="19">
                  <c:v>4.75</c:v>
                </c:pt>
                <c:pt idx="20">
                  <c:v>5</c:v>
                </c:pt>
                <c:pt idx="21">
                  <c:v>5.25</c:v>
                </c:pt>
                <c:pt idx="22">
                  <c:v>5.5</c:v>
                </c:pt>
                <c:pt idx="23">
                  <c:v>5.75</c:v>
                </c:pt>
                <c:pt idx="24">
                  <c:v>6</c:v>
                </c:pt>
                <c:pt idx="25">
                  <c:v>6.25</c:v>
                </c:pt>
                <c:pt idx="26">
                  <c:v>6.5</c:v>
                </c:pt>
                <c:pt idx="27">
                  <c:v>6.75</c:v>
                </c:pt>
                <c:pt idx="28">
                  <c:v>7</c:v>
                </c:pt>
                <c:pt idx="29">
                  <c:v>7.25</c:v>
                </c:pt>
                <c:pt idx="30">
                  <c:v>7.5</c:v>
                </c:pt>
                <c:pt idx="31">
                  <c:v>7.75</c:v>
                </c:pt>
                <c:pt idx="32">
                  <c:v>8</c:v>
                </c:pt>
                <c:pt idx="33">
                  <c:v>8.25</c:v>
                </c:pt>
                <c:pt idx="34">
                  <c:v>8.5</c:v>
                </c:pt>
                <c:pt idx="35">
                  <c:v>8.75</c:v>
                </c:pt>
                <c:pt idx="36">
                  <c:v>9</c:v>
                </c:pt>
                <c:pt idx="37">
                  <c:v>9.25</c:v>
                </c:pt>
                <c:pt idx="38">
                  <c:v>9.5</c:v>
                </c:pt>
                <c:pt idx="39">
                  <c:v>9.75</c:v>
                </c:pt>
                <c:pt idx="40">
                  <c:v>10</c:v>
                </c:pt>
              </c:numCache>
            </c:numRef>
          </c:xVal>
          <c:yVal>
            <c:numRef>
              <c:f>Engine!$C$61:$C$101</c:f>
              <c:numCache>
                <c:formatCode>0.00</c:formatCode>
                <c:ptCount val="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C99-4AF8-B477-36212978B3FE}"/>
            </c:ext>
          </c:extLst>
        </c:ser>
        <c:ser>
          <c:idx val="1"/>
          <c:order val="1"/>
          <c:tx>
            <c:v>mat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('11'!$F$3,'11'!$F$3)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Lit>
              <c:formatCode>General</c:formatCode>
              <c:ptCount val="2"/>
              <c:pt idx="0">
                <c:v>0</c:v>
              </c:pt>
              <c:pt idx="1">
                <c:v>1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1-8C99-4AF8-B477-36212978B3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5892848"/>
        <c:axId val="305889568"/>
      </c:scatterChart>
      <c:valAx>
        <c:axId val="305892848"/>
        <c:scaling>
          <c:orientation val="minMax"/>
          <c:max val="1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Maturità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305889568"/>
        <c:crosses val="autoZero"/>
        <c:crossBetween val="midCat"/>
        <c:majorUnit val="1"/>
      </c:valAx>
      <c:valAx>
        <c:axId val="305889568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Probabilità di successo (%)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3058928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1905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v>log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Engine!$B$61:$B$101</c:f>
              <c:numCache>
                <c:formatCode>0.00</c:formatCode>
                <c:ptCount val="41"/>
                <c:pt idx="0" formatCode="General">
                  <c:v>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</c:v>
                </c:pt>
                <c:pt idx="9">
                  <c:v>2.25</c:v>
                </c:pt>
                <c:pt idx="10">
                  <c:v>2.5</c:v>
                </c:pt>
                <c:pt idx="11">
                  <c:v>2.75</c:v>
                </c:pt>
                <c:pt idx="12">
                  <c:v>3</c:v>
                </c:pt>
                <c:pt idx="13">
                  <c:v>3.25</c:v>
                </c:pt>
                <c:pt idx="14">
                  <c:v>3.5</c:v>
                </c:pt>
                <c:pt idx="15">
                  <c:v>3.75</c:v>
                </c:pt>
                <c:pt idx="16">
                  <c:v>4</c:v>
                </c:pt>
                <c:pt idx="17">
                  <c:v>4.25</c:v>
                </c:pt>
                <c:pt idx="18">
                  <c:v>4.5</c:v>
                </c:pt>
                <c:pt idx="19">
                  <c:v>4.75</c:v>
                </c:pt>
                <c:pt idx="20">
                  <c:v>5</c:v>
                </c:pt>
                <c:pt idx="21">
                  <c:v>5.25</c:v>
                </c:pt>
                <c:pt idx="22">
                  <c:v>5.5</c:v>
                </c:pt>
                <c:pt idx="23">
                  <c:v>5.75</c:v>
                </c:pt>
                <c:pt idx="24">
                  <c:v>6</c:v>
                </c:pt>
                <c:pt idx="25">
                  <c:v>6.25</c:v>
                </c:pt>
                <c:pt idx="26">
                  <c:v>6.5</c:v>
                </c:pt>
                <c:pt idx="27">
                  <c:v>6.75</c:v>
                </c:pt>
                <c:pt idx="28">
                  <c:v>7</c:v>
                </c:pt>
                <c:pt idx="29">
                  <c:v>7.25</c:v>
                </c:pt>
                <c:pt idx="30">
                  <c:v>7.5</c:v>
                </c:pt>
                <c:pt idx="31">
                  <c:v>7.75</c:v>
                </c:pt>
                <c:pt idx="32">
                  <c:v>8</c:v>
                </c:pt>
                <c:pt idx="33">
                  <c:v>8.25</c:v>
                </c:pt>
                <c:pt idx="34">
                  <c:v>8.5</c:v>
                </c:pt>
                <c:pt idx="35">
                  <c:v>8.75</c:v>
                </c:pt>
                <c:pt idx="36">
                  <c:v>9</c:v>
                </c:pt>
                <c:pt idx="37">
                  <c:v>9.25</c:v>
                </c:pt>
                <c:pt idx="38">
                  <c:v>9.5</c:v>
                </c:pt>
                <c:pt idx="39">
                  <c:v>9.75</c:v>
                </c:pt>
                <c:pt idx="40">
                  <c:v>10</c:v>
                </c:pt>
              </c:numCache>
            </c:numRef>
          </c:xVal>
          <c:yVal>
            <c:numRef>
              <c:f>Engine!$C$61:$C$101</c:f>
              <c:numCache>
                <c:formatCode>0.00</c:formatCode>
                <c:ptCount val="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95C-4CAD-B49C-083F9E666A83}"/>
            </c:ext>
          </c:extLst>
        </c:ser>
        <c:ser>
          <c:idx val="1"/>
          <c:order val="1"/>
          <c:tx>
            <c:v>mat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('12'!$F$3,'12'!$F$3)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Lit>
              <c:formatCode>General</c:formatCode>
              <c:ptCount val="2"/>
              <c:pt idx="0">
                <c:v>0</c:v>
              </c:pt>
              <c:pt idx="1">
                <c:v>1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1-C95C-4CAD-B49C-083F9E666A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5892848"/>
        <c:axId val="305889568"/>
      </c:scatterChart>
      <c:valAx>
        <c:axId val="305892848"/>
        <c:scaling>
          <c:orientation val="minMax"/>
          <c:max val="1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Maturità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305889568"/>
        <c:crosses val="autoZero"/>
        <c:crossBetween val="midCat"/>
        <c:majorUnit val="1"/>
      </c:valAx>
      <c:valAx>
        <c:axId val="305889568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Probabilità di successo (%)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3058928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1905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v>log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Engine!$B$61:$B$101</c:f>
              <c:numCache>
                <c:formatCode>0.00</c:formatCode>
                <c:ptCount val="41"/>
                <c:pt idx="0" formatCode="General">
                  <c:v>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</c:v>
                </c:pt>
                <c:pt idx="9">
                  <c:v>2.25</c:v>
                </c:pt>
                <c:pt idx="10">
                  <c:v>2.5</c:v>
                </c:pt>
                <c:pt idx="11">
                  <c:v>2.75</c:v>
                </c:pt>
                <c:pt idx="12">
                  <c:v>3</c:v>
                </c:pt>
                <c:pt idx="13">
                  <c:v>3.25</c:v>
                </c:pt>
                <c:pt idx="14">
                  <c:v>3.5</c:v>
                </c:pt>
                <c:pt idx="15">
                  <c:v>3.75</c:v>
                </c:pt>
                <c:pt idx="16">
                  <c:v>4</c:v>
                </c:pt>
                <c:pt idx="17">
                  <c:v>4.25</c:v>
                </c:pt>
                <c:pt idx="18">
                  <c:v>4.5</c:v>
                </c:pt>
                <c:pt idx="19">
                  <c:v>4.75</c:v>
                </c:pt>
                <c:pt idx="20">
                  <c:v>5</c:v>
                </c:pt>
                <c:pt idx="21">
                  <c:v>5.25</c:v>
                </c:pt>
                <c:pt idx="22">
                  <c:v>5.5</c:v>
                </c:pt>
                <c:pt idx="23">
                  <c:v>5.75</c:v>
                </c:pt>
                <c:pt idx="24">
                  <c:v>6</c:v>
                </c:pt>
                <c:pt idx="25">
                  <c:v>6.25</c:v>
                </c:pt>
                <c:pt idx="26">
                  <c:v>6.5</c:v>
                </c:pt>
                <c:pt idx="27">
                  <c:v>6.75</c:v>
                </c:pt>
                <c:pt idx="28">
                  <c:v>7</c:v>
                </c:pt>
                <c:pt idx="29">
                  <c:v>7.25</c:v>
                </c:pt>
                <c:pt idx="30">
                  <c:v>7.5</c:v>
                </c:pt>
                <c:pt idx="31">
                  <c:v>7.75</c:v>
                </c:pt>
                <c:pt idx="32">
                  <c:v>8</c:v>
                </c:pt>
                <c:pt idx="33">
                  <c:v>8.25</c:v>
                </c:pt>
                <c:pt idx="34">
                  <c:v>8.5</c:v>
                </c:pt>
                <c:pt idx="35">
                  <c:v>8.75</c:v>
                </c:pt>
                <c:pt idx="36">
                  <c:v>9</c:v>
                </c:pt>
                <c:pt idx="37">
                  <c:v>9.25</c:v>
                </c:pt>
                <c:pt idx="38">
                  <c:v>9.5</c:v>
                </c:pt>
                <c:pt idx="39">
                  <c:v>9.75</c:v>
                </c:pt>
                <c:pt idx="40">
                  <c:v>10</c:v>
                </c:pt>
              </c:numCache>
            </c:numRef>
          </c:xVal>
          <c:yVal>
            <c:numRef>
              <c:f>Engine!$C$61:$C$101</c:f>
              <c:numCache>
                <c:formatCode>0.00</c:formatCode>
                <c:ptCount val="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839-4932-BED5-F9210E22F815}"/>
            </c:ext>
          </c:extLst>
        </c:ser>
        <c:ser>
          <c:idx val="1"/>
          <c:order val="1"/>
          <c:tx>
            <c:v>mat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('13'!$F$3,'13'!$F$3)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Lit>
              <c:formatCode>General</c:formatCode>
              <c:ptCount val="2"/>
              <c:pt idx="0">
                <c:v>0</c:v>
              </c:pt>
              <c:pt idx="1">
                <c:v>1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1-9839-4932-BED5-F9210E22F8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5892848"/>
        <c:axId val="305889568"/>
      </c:scatterChart>
      <c:valAx>
        <c:axId val="305892848"/>
        <c:scaling>
          <c:orientation val="minMax"/>
          <c:max val="1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Maturità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305889568"/>
        <c:crosses val="autoZero"/>
        <c:crossBetween val="midCat"/>
        <c:majorUnit val="1"/>
      </c:valAx>
      <c:valAx>
        <c:axId val="305889568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Probabilità di successo (%)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3058928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1905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v>log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Engine!$B$61:$B$101</c:f>
              <c:numCache>
                <c:formatCode>0.00</c:formatCode>
                <c:ptCount val="41"/>
                <c:pt idx="0" formatCode="General">
                  <c:v>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</c:v>
                </c:pt>
                <c:pt idx="9">
                  <c:v>2.25</c:v>
                </c:pt>
                <c:pt idx="10">
                  <c:v>2.5</c:v>
                </c:pt>
                <c:pt idx="11">
                  <c:v>2.75</c:v>
                </c:pt>
                <c:pt idx="12">
                  <c:v>3</c:v>
                </c:pt>
                <c:pt idx="13">
                  <c:v>3.25</c:v>
                </c:pt>
                <c:pt idx="14">
                  <c:v>3.5</c:v>
                </c:pt>
                <c:pt idx="15">
                  <c:v>3.75</c:v>
                </c:pt>
                <c:pt idx="16">
                  <c:v>4</c:v>
                </c:pt>
                <c:pt idx="17">
                  <c:v>4.25</c:v>
                </c:pt>
                <c:pt idx="18">
                  <c:v>4.5</c:v>
                </c:pt>
                <c:pt idx="19">
                  <c:v>4.75</c:v>
                </c:pt>
                <c:pt idx="20">
                  <c:v>5</c:v>
                </c:pt>
                <c:pt idx="21">
                  <c:v>5.25</c:v>
                </c:pt>
                <c:pt idx="22">
                  <c:v>5.5</c:v>
                </c:pt>
                <c:pt idx="23">
                  <c:v>5.75</c:v>
                </c:pt>
                <c:pt idx="24">
                  <c:v>6</c:v>
                </c:pt>
                <c:pt idx="25">
                  <c:v>6.25</c:v>
                </c:pt>
                <c:pt idx="26">
                  <c:v>6.5</c:v>
                </c:pt>
                <c:pt idx="27">
                  <c:v>6.75</c:v>
                </c:pt>
                <c:pt idx="28">
                  <c:v>7</c:v>
                </c:pt>
                <c:pt idx="29">
                  <c:v>7.25</c:v>
                </c:pt>
                <c:pt idx="30">
                  <c:v>7.5</c:v>
                </c:pt>
                <c:pt idx="31">
                  <c:v>7.75</c:v>
                </c:pt>
                <c:pt idx="32">
                  <c:v>8</c:v>
                </c:pt>
                <c:pt idx="33">
                  <c:v>8.25</c:v>
                </c:pt>
                <c:pt idx="34">
                  <c:v>8.5</c:v>
                </c:pt>
                <c:pt idx="35">
                  <c:v>8.75</c:v>
                </c:pt>
                <c:pt idx="36">
                  <c:v>9</c:v>
                </c:pt>
                <c:pt idx="37">
                  <c:v>9.25</c:v>
                </c:pt>
                <c:pt idx="38">
                  <c:v>9.5</c:v>
                </c:pt>
                <c:pt idx="39">
                  <c:v>9.75</c:v>
                </c:pt>
                <c:pt idx="40">
                  <c:v>10</c:v>
                </c:pt>
              </c:numCache>
            </c:numRef>
          </c:xVal>
          <c:yVal>
            <c:numRef>
              <c:f>Engine!$C$61:$C$101</c:f>
              <c:numCache>
                <c:formatCode>0.00</c:formatCode>
                <c:ptCount val="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BCA-4DD6-BBE2-8B5E19576A5E}"/>
            </c:ext>
          </c:extLst>
        </c:ser>
        <c:ser>
          <c:idx val="1"/>
          <c:order val="1"/>
          <c:tx>
            <c:v>mat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('14'!$F$3,'14'!$F$3)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Lit>
              <c:formatCode>General</c:formatCode>
              <c:ptCount val="2"/>
              <c:pt idx="0">
                <c:v>0</c:v>
              </c:pt>
              <c:pt idx="1">
                <c:v>1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1-4BCA-4DD6-BBE2-8B5E19576A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5892848"/>
        <c:axId val="305889568"/>
      </c:scatterChart>
      <c:valAx>
        <c:axId val="305892848"/>
        <c:scaling>
          <c:orientation val="minMax"/>
          <c:max val="1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Maturità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305889568"/>
        <c:crosses val="autoZero"/>
        <c:crossBetween val="midCat"/>
        <c:majorUnit val="1"/>
      </c:valAx>
      <c:valAx>
        <c:axId val="305889568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Probabilità di successo (%)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3058928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1905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v>log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Engine!$B$61:$B$101</c:f>
              <c:numCache>
                <c:formatCode>0.00</c:formatCode>
                <c:ptCount val="41"/>
                <c:pt idx="0" formatCode="General">
                  <c:v>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</c:v>
                </c:pt>
                <c:pt idx="9">
                  <c:v>2.25</c:v>
                </c:pt>
                <c:pt idx="10">
                  <c:v>2.5</c:v>
                </c:pt>
                <c:pt idx="11">
                  <c:v>2.75</c:v>
                </c:pt>
                <c:pt idx="12">
                  <c:v>3</c:v>
                </c:pt>
                <c:pt idx="13">
                  <c:v>3.25</c:v>
                </c:pt>
                <c:pt idx="14">
                  <c:v>3.5</c:v>
                </c:pt>
                <c:pt idx="15">
                  <c:v>3.75</c:v>
                </c:pt>
                <c:pt idx="16">
                  <c:v>4</c:v>
                </c:pt>
                <c:pt idx="17">
                  <c:v>4.25</c:v>
                </c:pt>
                <c:pt idx="18">
                  <c:v>4.5</c:v>
                </c:pt>
                <c:pt idx="19">
                  <c:v>4.75</c:v>
                </c:pt>
                <c:pt idx="20">
                  <c:v>5</c:v>
                </c:pt>
                <c:pt idx="21">
                  <c:v>5.25</c:v>
                </c:pt>
                <c:pt idx="22">
                  <c:v>5.5</c:v>
                </c:pt>
                <c:pt idx="23">
                  <c:v>5.75</c:v>
                </c:pt>
                <c:pt idx="24">
                  <c:v>6</c:v>
                </c:pt>
                <c:pt idx="25">
                  <c:v>6.25</c:v>
                </c:pt>
                <c:pt idx="26">
                  <c:v>6.5</c:v>
                </c:pt>
                <c:pt idx="27">
                  <c:v>6.75</c:v>
                </c:pt>
                <c:pt idx="28">
                  <c:v>7</c:v>
                </c:pt>
                <c:pt idx="29">
                  <c:v>7.25</c:v>
                </c:pt>
                <c:pt idx="30">
                  <c:v>7.5</c:v>
                </c:pt>
                <c:pt idx="31">
                  <c:v>7.75</c:v>
                </c:pt>
                <c:pt idx="32">
                  <c:v>8</c:v>
                </c:pt>
                <c:pt idx="33">
                  <c:v>8.25</c:v>
                </c:pt>
                <c:pt idx="34">
                  <c:v>8.5</c:v>
                </c:pt>
                <c:pt idx="35">
                  <c:v>8.75</c:v>
                </c:pt>
                <c:pt idx="36">
                  <c:v>9</c:v>
                </c:pt>
                <c:pt idx="37">
                  <c:v>9.25</c:v>
                </c:pt>
                <c:pt idx="38">
                  <c:v>9.5</c:v>
                </c:pt>
                <c:pt idx="39">
                  <c:v>9.75</c:v>
                </c:pt>
                <c:pt idx="40">
                  <c:v>10</c:v>
                </c:pt>
              </c:numCache>
            </c:numRef>
          </c:xVal>
          <c:yVal>
            <c:numRef>
              <c:f>Engine!$C$61:$C$101</c:f>
              <c:numCache>
                <c:formatCode>0.00</c:formatCode>
                <c:ptCount val="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486-4802-B592-5300991ADCA2}"/>
            </c:ext>
          </c:extLst>
        </c:ser>
        <c:ser>
          <c:idx val="1"/>
          <c:order val="1"/>
          <c:tx>
            <c:v>mat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('15'!$F$3,'15'!$F$3)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Lit>
              <c:formatCode>General</c:formatCode>
              <c:ptCount val="2"/>
              <c:pt idx="0">
                <c:v>0</c:v>
              </c:pt>
              <c:pt idx="1">
                <c:v>1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1-8486-4802-B592-5300991ADC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5892848"/>
        <c:axId val="305889568"/>
      </c:scatterChart>
      <c:valAx>
        <c:axId val="305892848"/>
        <c:scaling>
          <c:orientation val="minMax"/>
          <c:max val="1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Maturità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305889568"/>
        <c:crosses val="autoZero"/>
        <c:crossBetween val="midCat"/>
        <c:majorUnit val="1"/>
      </c:valAx>
      <c:valAx>
        <c:axId val="305889568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Probabilità di successo (%)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3058928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1905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571500</xdr:colOff>
      <xdr:row>11</xdr:row>
      <xdr:rowOff>103467</xdr:rowOff>
    </xdr:from>
    <xdr:to>
      <xdr:col>6</xdr:col>
      <xdr:colOff>1738313</xdr:colOff>
      <xdr:row>40</xdr:row>
      <xdr:rowOff>87885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33262</xdr:colOff>
      <xdr:row>5</xdr:row>
      <xdr:rowOff>323551</xdr:rowOff>
    </xdr:from>
    <xdr:to>
      <xdr:col>15</xdr:col>
      <xdr:colOff>60476</xdr:colOff>
      <xdr:row>15</xdr:row>
      <xdr:rowOff>60477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6</xdr:row>
      <xdr:rowOff>0</xdr:rowOff>
    </xdr:from>
    <xdr:to>
      <xdr:col>15</xdr:col>
      <xdr:colOff>27213</xdr:colOff>
      <xdr:row>18</xdr:row>
      <xdr:rowOff>117926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560917</xdr:colOff>
      <xdr:row>5</xdr:row>
      <xdr:rowOff>275167</xdr:rowOff>
    </xdr:from>
    <xdr:to>
      <xdr:col>15</xdr:col>
      <xdr:colOff>58964</xdr:colOff>
      <xdr:row>16</xdr:row>
      <xdr:rowOff>149676</xdr:rowOff>
    </xdr:to>
    <xdr:graphicFrame macro="">
      <xdr:nvGraphicFramePr>
        <xdr:cNvPr id="7" name="Grafico 6">
          <a:extLst>
            <a:ext uri="{FF2B5EF4-FFF2-40B4-BE49-F238E27FC236}">
              <a16:creationId xmlns:a16="http://schemas.microsoft.com/office/drawing/2014/main" id="{00000000-0008-0000-07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582083</xdr:colOff>
      <xdr:row>5</xdr:row>
      <xdr:rowOff>444500</xdr:rowOff>
    </xdr:from>
    <xdr:to>
      <xdr:col>14</xdr:col>
      <xdr:colOff>609297</xdr:colOff>
      <xdr:row>13</xdr:row>
      <xdr:rowOff>43842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5</xdr:row>
      <xdr:rowOff>243416</xdr:rowOff>
    </xdr:from>
    <xdr:to>
      <xdr:col>15</xdr:col>
      <xdr:colOff>27214</xdr:colOff>
      <xdr:row>16</xdr:row>
      <xdr:rowOff>149676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6</xdr:row>
      <xdr:rowOff>0</xdr:rowOff>
    </xdr:from>
    <xdr:to>
      <xdr:col>15</xdr:col>
      <xdr:colOff>27214</xdr:colOff>
      <xdr:row>17</xdr:row>
      <xdr:rowOff>128510</xdr:rowOff>
    </xdr:to>
    <xdr:graphicFrame macro="">
      <xdr:nvGraphicFramePr>
        <xdr:cNvPr id="5" name="Grafico 4">
          <a:extLst>
            <a:ext uri="{FF2B5EF4-FFF2-40B4-BE49-F238E27FC236}">
              <a16:creationId xmlns:a16="http://schemas.microsoft.com/office/drawing/2014/main" id="{00000000-0008-0000-0A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571500</xdr:colOff>
      <xdr:row>5</xdr:row>
      <xdr:rowOff>455084</xdr:rowOff>
    </xdr:from>
    <xdr:to>
      <xdr:col>14</xdr:col>
      <xdr:colOff>598713</xdr:colOff>
      <xdr:row>11</xdr:row>
      <xdr:rowOff>12093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6</xdr:row>
      <xdr:rowOff>0</xdr:rowOff>
    </xdr:from>
    <xdr:to>
      <xdr:col>14</xdr:col>
      <xdr:colOff>376464</xdr:colOff>
      <xdr:row>10</xdr:row>
      <xdr:rowOff>541260</xdr:rowOff>
    </xdr:to>
    <xdr:graphicFrame macro="">
      <xdr:nvGraphicFramePr>
        <xdr:cNvPr id="5" name="Grafico 4">
          <a:extLst>
            <a:ext uri="{FF2B5EF4-FFF2-40B4-BE49-F238E27FC236}">
              <a16:creationId xmlns:a16="http://schemas.microsoft.com/office/drawing/2014/main" id="{00000000-0008-0000-0C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6</xdr:row>
      <xdr:rowOff>0</xdr:rowOff>
    </xdr:from>
    <xdr:to>
      <xdr:col>15</xdr:col>
      <xdr:colOff>27214</xdr:colOff>
      <xdr:row>10</xdr:row>
      <xdr:rowOff>541259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6</xdr:row>
      <xdr:rowOff>0</xdr:rowOff>
    </xdr:from>
    <xdr:to>
      <xdr:col>15</xdr:col>
      <xdr:colOff>27214</xdr:colOff>
      <xdr:row>16</xdr:row>
      <xdr:rowOff>117926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6</xdr:row>
      <xdr:rowOff>0</xdr:rowOff>
    </xdr:from>
    <xdr:to>
      <xdr:col>15</xdr:col>
      <xdr:colOff>27214</xdr:colOff>
      <xdr:row>10</xdr:row>
      <xdr:rowOff>541260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6</xdr:row>
      <xdr:rowOff>0</xdr:rowOff>
    </xdr:from>
    <xdr:to>
      <xdr:col>15</xdr:col>
      <xdr:colOff>27214</xdr:colOff>
      <xdr:row>10</xdr:row>
      <xdr:rowOff>541260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id="{00000000-0008-0000-1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6</xdr:row>
      <xdr:rowOff>0</xdr:rowOff>
    </xdr:from>
    <xdr:to>
      <xdr:col>15</xdr:col>
      <xdr:colOff>27214</xdr:colOff>
      <xdr:row>15</xdr:row>
      <xdr:rowOff>117926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id="{00000000-0008-0000-1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6</xdr:row>
      <xdr:rowOff>0</xdr:rowOff>
    </xdr:from>
    <xdr:to>
      <xdr:col>15</xdr:col>
      <xdr:colOff>27214</xdr:colOff>
      <xdr:row>14</xdr:row>
      <xdr:rowOff>117926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id="{00000000-0008-0000-1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571501</xdr:colOff>
      <xdr:row>5</xdr:row>
      <xdr:rowOff>412750</xdr:rowOff>
    </xdr:from>
    <xdr:to>
      <xdr:col>14</xdr:col>
      <xdr:colOff>598714</xdr:colOff>
      <xdr:row>16</xdr:row>
      <xdr:rowOff>181427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id="{00000000-0008-0000-1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355600</xdr:colOff>
          <xdr:row>4</xdr:row>
          <xdr:rowOff>63500</xdr:rowOff>
        </xdr:from>
        <xdr:to>
          <xdr:col>9</xdr:col>
          <xdr:colOff>419100</xdr:colOff>
          <xdr:row>5</xdr:row>
          <xdr:rowOff>387350</xdr:rowOff>
        </xdr:to>
        <xdr:sp macro="" textlink="">
          <xdr:nvSpPr>
            <xdr:cNvPr id="27649" name="Button 1" hidden="1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1400-00000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8580" rIns="64008" bIns="68580" anchor="ctr" upright="1"/>
            <a:lstStyle/>
            <a:p>
              <a:pPr algn="ctr" rtl="0">
                <a:defRPr sz="1000"/>
              </a:pPr>
              <a:r>
                <a:rPr lang="it-IT" sz="1600" b="0" i="0" u="none" strike="noStrike" baseline="0">
                  <a:solidFill>
                    <a:srgbClr val="FF0000"/>
                  </a:solidFill>
                  <a:latin typeface="Arial Black"/>
                </a:rPr>
                <a:t>CALCOLA!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254000</xdr:colOff>
          <xdr:row>9</xdr:row>
          <xdr:rowOff>152400</xdr:rowOff>
        </xdr:from>
        <xdr:to>
          <xdr:col>5</xdr:col>
          <xdr:colOff>165100</xdr:colOff>
          <xdr:row>14</xdr:row>
          <xdr:rowOff>120650</xdr:rowOff>
        </xdr:to>
        <xdr:sp macro="" textlink="">
          <xdr:nvSpPr>
            <xdr:cNvPr id="32769" name="Button 1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17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8580" rIns="64008" bIns="68580" anchor="ctr" upright="1"/>
            <a:lstStyle/>
            <a:p>
              <a:pPr algn="ctr" rtl="0">
                <a:defRPr sz="1000"/>
              </a:pPr>
              <a:r>
                <a:rPr lang="it-IT" sz="1600" b="0" i="0" u="none" strike="noStrike" baseline="0">
                  <a:solidFill>
                    <a:srgbClr val="FF0000"/>
                  </a:solidFill>
                  <a:latin typeface="Arial Black"/>
                </a:rPr>
                <a:t>CALCOLA!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hyperlink" Target="mailto:aaa@bbb.it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1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1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C2323B-A18F-4F42-AD82-40CD006EF874}">
  <sheetPr codeName="Foglio24"/>
  <dimension ref="A1:F19"/>
  <sheetViews>
    <sheetView showGridLines="0" tabSelected="1" zoomScale="90" zoomScaleNormal="90" workbookViewId="0">
      <selection activeCell="D3" sqref="D3"/>
    </sheetView>
  </sheetViews>
  <sheetFormatPr defaultColWidth="0" defaultRowHeight="23.5" zeroHeight="1" x14ac:dyDescent="0.55000000000000004"/>
  <cols>
    <col min="1" max="1" width="2.6328125" style="288" customWidth="1"/>
    <col min="2" max="2" width="42.81640625" style="288" customWidth="1"/>
    <col min="3" max="3" width="34.453125" style="288" customWidth="1"/>
    <col min="4" max="4" width="85" style="288" customWidth="1"/>
    <col min="5" max="5" width="3.36328125" style="288" customWidth="1"/>
    <col min="6" max="6" width="3.1796875" style="288" customWidth="1"/>
    <col min="7" max="16384" width="8.81640625" style="288" hidden="1"/>
  </cols>
  <sheetData>
    <row r="1" spans="1:5" ht="34.5" customHeight="1" thickBot="1" x14ac:dyDescent="0.6">
      <c r="A1" s="658" t="s">
        <v>322</v>
      </c>
      <c r="B1" s="659"/>
      <c r="C1" s="659"/>
      <c r="D1" s="659"/>
      <c r="E1" s="660"/>
    </row>
    <row r="2" spans="1:5" ht="18.5" customHeight="1" thickBot="1" x14ac:dyDescent="0.6">
      <c r="A2" s="569"/>
      <c r="B2" s="570"/>
      <c r="C2" s="570"/>
      <c r="D2" s="570"/>
      <c r="E2" s="571"/>
    </row>
    <row r="3" spans="1:5" ht="29" customHeight="1" x14ac:dyDescent="0.55000000000000004">
      <c r="A3" s="569"/>
      <c r="B3" s="667" t="s">
        <v>312</v>
      </c>
      <c r="C3" s="668"/>
      <c r="D3" s="572" t="s">
        <v>313</v>
      </c>
      <c r="E3" s="571"/>
    </row>
    <row r="4" spans="1:5" ht="30.5" customHeight="1" thickBot="1" x14ac:dyDescent="0.6">
      <c r="A4" s="569"/>
      <c r="B4" s="669"/>
      <c r="C4" s="670"/>
      <c r="D4" s="573" t="s">
        <v>313</v>
      </c>
      <c r="E4" s="571"/>
    </row>
    <row r="5" spans="1:5" ht="18.5" customHeight="1" thickBot="1" x14ac:dyDescent="0.6">
      <c r="A5" s="569"/>
      <c r="B5" s="304"/>
      <c r="C5" s="304"/>
      <c r="D5" s="304"/>
      <c r="E5" s="571"/>
    </row>
    <row r="6" spans="1:5" ht="29" customHeight="1" thickBot="1" x14ac:dyDescent="0.6">
      <c r="A6" s="569"/>
      <c r="B6" s="671" t="s">
        <v>63</v>
      </c>
      <c r="C6" s="672"/>
      <c r="D6" s="574" t="s">
        <v>335</v>
      </c>
      <c r="E6" s="571"/>
    </row>
    <row r="7" spans="1:5" ht="18.5" customHeight="1" thickBot="1" x14ac:dyDescent="0.6">
      <c r="A7" s="569"/>
      <c r="B7" s="304"/>
      <c r="C7" s="304"/>
      <c r="D7" s="304"/>
      <c r="E7" s="571"/>
    </row>
    <row r="8" spans="1:5" ht="31" customHeight="1" x14ac:dyDescent="0.55000000000000004">
      <c r="A8" s="569"/>
      <c r="B8" s="673" t="s">
        <v>314</v>
      </c>
      <c r="C8" s="674"/>
      <c r="D8" s="572" t="s">
        <v>333</v>
      </c>
      <c r="E8" s="571"/>
    </row>
    <row r="9" spans="1:5" ht="28.5" customHeight="1" thickBot="1" x14ac:dyDescent="0.6">
      <c r="A9" s="569"/>
      <c r="B9" s="675"/>
      <c r="C9" s="676"/>
      <c r="D9" s="575" t="s">
        <v>315</v>
      </c>
      <c r="E9" s="571"/>
    </row>
    <row r="10" spans="1:5" ht="18.5" customHeight="1" thickBot="1" x14ac:dyDescent="0.6">
      <c r="A10" s="569"/>
      <c r="B10" s="570"/>
      <c r="C10" s="570"/>
      <c r="D10" s="570"/>
      <c r="E10" s="571"/>
    </row>
    <row r="11" spans="1:5" ht="36.5" customHeight="1" thickBot="1" x14ac:dyDescent="0.6">
      <c r="A11" s="569"/>
      <c r="B11" s="677" t="s">
        <v>316</v>
      </c>
      <c r="C11" s="678"/>
      <c r="D11" s="576">
        <f ca="1">TODAY()</f>
        <v>45118</v>
      </c>
      <c r="E11" s="571"/>
    </row>
    <row r="12" spans="1:5" ht="18.5" customHeight="1" x14ac:dyDescent="0.55000000000000004">
      <c r="A12" s="569"/>
      <c r="B12" s="577"/>
      <c r="C12" s="577"/>
      <c r="D12" s="577"/>
      <c r="E12" s="571"/>
    </row>
    <row r="13" spans="1:5" ht="39" customHeight="1" x14ac:dyDescent="0.55000000000000004">
      <c r="A13" s="569"/>
      <c r="B13" s="664" t="s">
        <v>317</v>
      </c>
      <c r="C13" s="665"/>
      <c r="D13" s="666"/>
      <c r="E13" s="571"/>
    </row>
    <row r="14" spans="1:5" ht="150.5" customHeight="1" x14ac:dyDescent="0.55000000000000004">
      <c r="A14" s="569"/>
      <c r="B14" s="661"/>
      <c r="C14" s="662"/>
      <c r="D14" s="663"/>
      <c r="E14" s="571"/>
    </row>
    <row r="15" spans="1:5" ht="18.5" customHeight="1" x14ac:dyDescent="0.55000000000000004">
      <c r="A15" s="569"/>
      <c r="B15" s="570"/>
      <c r="C15" s="570"/>
      <c r="D15" s="570"/>
      <c r="E15" s="571"/>
    </row>
    <row r="16" spans="1:5" ht="30.5" customHeight="1" x14ac:dyDescent="0.55000000000000004">
      <c r="A16" s="569"/>
      <c r="B16" s="664" t="s">
        <v>318</v>
      </c>
      <c r="C16" s="665"/>
      <c r="D16" s="666"/>
      <c r="E16" s="571"/>
    </row>
    <row r="17" spans="1:5" ht="174.5" customHeight="1" x14ac:dyDescent="0.55000000000000004">
      <c r="A17" s="569"/>
      <c r="B17" s="661"/>
      <c r="C17" s="662"/>
      <c r="D17" s="663"/>
      <c r="E17" s="571"/>
    </row>
    <row r="18" spans="1:5" ht="18.5" customHeight="1" thickBot="1" x14ac:dyDescent="0.6">
      <c r="A18" s="578"/>
      <c r="B18" s="579"/>
      <c r="C18" s="579"/>
      <c r="D18" s="579"/>
      <c r="E18" s="580"/>
    </row>
    <row r="19" spans="1:5" x14ac:dyDescent="0.55000000000000004">
      <c r="A19" s="304"/>
      <c r="B19" s="304"/>
      <c r="C19" s="304"/>
      <c r="D19" s="304"/>
      <c r="E19" s="304"/>
    </row>
  </sheetData>
  <sheetProtection algorithmName="SHA-512" hashValue="YNofYp8PEnWSMstQ77GVjAo5h2+DtNxZOBlqduIRsY0Sp8X8oM6hABPIuaf78JiQSRQeYflaPL+anSGQ26aZmQ==" saltValue="PrnMwF+v5wROcIIeZLlrtw==" spinCount="100000" sheet="1" objects="1" scenarios="1" selectLockedCells="1"/>
  <mergeCells count="9">
    <mergeCell ref="A1:E1"/>
    <mergeCell ref="B14:D14"/>
    <mergeCell ref="B16:D16"/>
    <mergeCell ref="B17:D17"/>
    <mergeCell ref="B3:C4"/>
    <mergeCell ref="B6:C6"/>
    <mergeCell ref="B8:C9"/>
    <mergeCell ref="B11:C11"/>
    <mergeCell ref="B13:D13"/>
  </mergeCells>
  <hyperlinks>
    <hyperlink ref="D9" r:id="rId1" xr:uid="{04B0FC6E-FB37-4760-AD91-48C3AC5491BD}"/>
  </hyperlink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B927CE9D-04C7-4E9C-A96E-95C31CE5F30B}">
          <x14:formula1>
            <xm:f>Engine!$L$23:$L$41</xm:f>
          </x14:formula1>
          <xm:sqref>D6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6FBF3F-5A6E-465B-84B5-8733341E8EDF}">
  <sheetPr codeName="Foglio1">
    <tabColor theme="2"/>
  </sheetPr>
  <dimension ref="A1:XFC70"/>
  <sheetViews>
    <sheetView showGridLines="0" zoomScale="70" zoomScaleNormal="70" workbookViewId="0">
      <selection activeCell="C4" sqref="C4"/>
    </sheetView>
  </sheetViews>
  <sheetFormatPr defaultColWidth="0" defaultRowHeight="21" zeroHeight="1" x14ac:dyDescent="0.5"/>
  <cols>
    <col min="1" max="1" width="40.54296875" style="541" customWidth="1"/>
    <col min="2" max="2" width="15.81640625" style="388" customWidth="1"/>
    <col min="3" max="3" width="17.453125" style="388" customWidth="1"/>
    <col min="4" max="4" width="40.6328125" style="625" customWidth="1"/>
    <col min="5" max="6" width="11.453125" style="388" hidden="1" customWidth="1"/>
    <col min="7" max="7" width="23.08984375" style="389" hidden="1" customWidth="1"/>
    <col min="8" max="11" width="30.6328125" style="389" customWidth="1"/>
    <col min="12" max="12" width="30.6328125" style="385" customWidth="1"/>
    <col min="13" max="13" width="2" style="385" customWidth="1"/>
    <col min="14" max="16383" width="9.08984375" style="385" hidden="1"/>
    <col min="16384" max="16384" width="0.90625" style="385" hidden="1" customWidth="1"/>
  </cols>
  <sheetData>
    <row r="1" spans="1:15" ht="33.5" customHeight="1" thickBot="1" x14ac:dyDescent="0.55000000000000004">
      <c r="A1" s="688" t="s">
        <v>93</v>
      </c>
      <c r="B1" s="689"/>
      <c r="C1" s="689"/>
      <c r="D1" s="689"/>
      <c r="E1" s="689"/>
      <c r="F1" s="689"/>
      <c r="G1" s="689"/>
      <c r="H1" s="689"/>
      <c r="I1" s="689"/>
      <c r="J1" s="689"/>
      <c r="K1" s="689"/>
      <c r="L1" s="690"/>
    </row>
    <row r="2" spans="1:15" ht="21.5" thickBot="1" x14ac:dyDescent="0.55000000000000004">
      <c r="A2" s="386"/>
      <c r="B2" s="387"/>
      <c r="C2" s="387"/>
      <c r="D2" s="599"/>
      <c r="G2" s="388"/>
      <c r="L2" s="390"/>
    </row>
    <row r="3" spans="1:15" ht="21.5" thickBot="1" x14ac:dyDescent="0.55000000000000004">
      <c r="A3" s="691" t="s">
        <v>94</v>
      </c>
      <c r="B3" s="692"/>
      <c r="C3" s="582" t="s">
        <v>329</v>
      </c>
      <c r="D3" s="600" t="s">
        <v>95</v>
      </c>
      <c r="G3" s="388"/>
      <c r="L3" s="390"/>
    </row>
    <row r="4" spans="1:15" ht="50" customHeight="1" x14ac:dyDescent="0.5">
      <c r="A4" s="683" t="s">
        <v>96</v>
      </c>
      <c r="B4" s="684"/>
      <c r="C4" s="391"/>
      <c r="D4" s="601"/>
      <c r="E4" s="392"/>
      <c r="F4" s="392"/>
      <c r="L4" s="390"/>
    </row>
    <row r="5" spans="1:15" ht="50" customHeight="1" x14ac:dyDescent="0.5">
      <c r="A5" s="681" t="s">
        <v>97</v>
      </c>
      <c r="B5" s="682"/>
      <c r="C5" s="393"/>
      <c r="D5" s="602"/>
      <c r="E5" s="385"/>
      <c r="F5" s="385"/>
      <c r="G5" s="394"/>
      <c r="H5" s="395"/>
      <c r="I5" s="396"/>
      <c r="J5" s="396"/>
      <c r="K5" s="396"/>
      <c r="L5" s="390"/>
    </row>
    <row r="6" spans="1:15" ht="50" customHeight="1" x14ac:dyDescent="0.5">
      <c r="A6" s="681" t="s">
        <v>98</v>
      </c>
      <c r="B6" s="682"/>
      <c r="C6" s="393"/>
      <c r="D6" s="602"/>
      <c r="E6" s="397"/>
      <c r="F6" s="397"/>
      <c r="G6" s="397"/>
      <c r="H6" s="687"/>
      <c r="I6" s="687"/>
      <c r="J6" s="399"/>
      <c r="K6" s="400"/>
      <c r="L6" s="390"/>
      <c r="M6" s="389"/>
      <c r="N6" s="389"/>
      <c r="O6" s="389"/>
    </row>
    <row r="7" spans="1:15" ht="50" customHeight="1" x14ac:dyDescent="0.5">
      <c r="A7" s="681" t="s">
        <v>99</v>
      </c>
      <c r="B7" s="682"/>
      <c r="C7" s="393"/>
      <c r="D7" s="602"/>
      <c r="E7" s="397"/>
      <c r="F7" s="397"/>
      <c r="G7" s="397"/>
      <c r="H7" s="687"/>
      <c r="I7" s="687"/>
      <c r="J7" s="399"/>
      <c r="K7" s="400"/>
      <c r="L7" s="390"/>
      <c r="M7" s="389"/>
      <c r="N7" s="389"/>
      <c r="O7" s="389"/>
    </row>
    <row r="8" spans="1:15" ht="65" customHeight="1" x14ac:dyDescent="0.5">
      <c r="A8" s="681" t="s">
        <v>100</v>
      </c>
      <c r="B8" s="682"/>
      <c r="C8" s="393"/>
      <c r="D8" s="602"/>
      <c r="E8" s="397"/>
      <c r="F8" s="397"/>
      <c r="G8" s="397"/>
      <c r="H8" s="687"/>
      <c r="I8" s="687"/>
      <c r="J8" s="399"/>
      <c r="K8" s="400"/>
      <c r="L8" s="390"/>
      <c r="M8" s="389"/>
      <c r="N8" s="389"/>
      <c r="O8" s="389"/>
    </row>
    <row r="9" spans="1:15" ht="70.5" customHeight="1" thickBot="1" x14ac:dyDescent="0.55000000000000004">
      <c r="A9" s="679" t="s">
        <v>101</v>
      </c>
      <c r="B9" s="680"/>
      <c r="C9" s="401"/>
      <c r="D9" s="603"/>
      <c r="E9" s="397"/>
      <c r="F9" s="397"/>
      <c r="G9" s="397"/>
      <c r="H9" s="687"/>
      <c r="I9" s="687"/>
      <c r="J9" s="402"/>
      <c r="K9" s="396"/>
      <c r="L9" s="390"/>
      <c r="M9" s="389"/>
      <c r="N9" s="389"/>
      <c r="O9" s="389"/>
    </row>
    <row r="10" spans="1:15" ht="21.5" thickBot="1" x14ac:dyDescent="0.55000000000000004">
      <c r="A10" s="403"/>
      <c r="B10" s="404"/>
      <c r="C10" s="404"/>
      <c r="D10" s="604"/>
      <c r="E10" s="398"/>
      <c r="F10" s="398"/>
      <c r="G10" s="402"/>
      <c r="L10" s="390"/>
    </row>
    <row r="11" spans="1:15" ht="21.5" thickBot="1" x14ac:dyDescent="0.55000000000000004">
      <c r="A11" s="405"/>
      <c r="C11" s="406" t="s">
        <v>102</v>
      </c>
      <c r="D11" s="605"/>
      <c r="G11" s="388"/>
      <c r="L11" s="390"/>
    </row>
    <row r="12" spans="1:15" s="323" customFormat="1" ht="31.5" customHeight="1" thickBot="1" x14ac:dyDescent="0.6">
      <c r="A12" s="581" t="s">
        <v>103</v>
      </c>
      <c r="B12" s="583">
        <f>COUNTA(E13:E23)</f>
        <v>11</v>
      </c>
      <c r="C12" s="584" t="s">
        <v>329</v>
      </c>
      <c r="D12" s="606" t="s">
        <v>104</v>
      </c>
      <c r="E12" s="585" t="str">
        <f>IF(E24&gt;0,"",SUM(E13:E23)/B12)</f>
        <v/>
      </c>
      <c r="F12" s="586">
        <f>AVERAGE(F13:F23)</f>
        <v>1</v>
      </c>
      <c r="G12" s="587" t="str">
        <f>IF(E24&gt;0,"Incompleto",AVERAGE(G13:G23)*10/4)</f>
        <v>Incompleto</v>
      </c>
      <c r="H12" s="588" t="s">
        <v>105</v>
      </c>
      <c r="I12" s="589" t="s">
        <v>59</v>
      </c>
      <c r="J12" s="590" t="s">
        <v>106</v>
      </c>
      <c r="K12" s="591" t="s">
        <v>107</v>
      </c>
      <c r="L12" s="592" t="s">
        <v>108</v>
      </c>
    </row>
    <row r="13" spans="1:15" ht="53.5" customHeight="1" x14ac:dyDescent="0.5">
      <c r="A13" s="407" t="s">
        <v>109</v>
      </c>
      <c r="B13" s="408" t="str">
        <f>IF(C5="","",C5)</f>
        <v/>
      </c>
      <c r="C13" s="409" t="str">
        <f>IF(C5="","",IF(C5&lt;11,"Minima",IF(C5&lt;51,"Bassa",IF(C5&lt;251,"Moderata",IF(C5&lt;=1000,"Significativa","Elevata")))))</f>
        <v/>
      </c>
      <c r="D13" s="607"/>
      <c r="E13" s="410" t="str">
        <f>IF(B13="","",IF(C13="Minima",0,IF(C13="Bassa",1,IF(C13="Moderata",2,IF(C13="Significativa",3,IF(C13="Elevata",4,0))))))</f>
        <v/>
      </c>
      <c r="F13" s="411">
        <v>1.1000000000000001</v>
      </c>
      <c r="G13" s="412" t="str">
        <f>IF(E13="","",E13*F13)</f>
        <v/>
      </c>
      <c r="H13" s="413" t="s">
        <v>110</v>
      </c>
      <c r="I13" s="414" t="s">
        <v>111</v>
      </c>
      <c r="J13" s="415" t="s">
        <v>112</v>
      </c>
      <c r="K13" s="415" t="s">
        <v>113</v>
      </c>
      <c r="L13" s="416" t="s">
        <v>114</v>
      </c>
    </row>
    <row r="14" spans="1:15" ht="61" customHeight="1" thickBot="1" x14ac:dyDescent="0.55000000000000004">
      <c r="A14" s="417" t="s">
        <v>115</v>
      </c>
      <c r="B14" s="418" t="str">
        <f>IF(C6="","",C6)</f>
        <v/>
      </c>
      <c r="C14" s="419" t="str">
        <f>IF(C6="","",IF(C6&lt;11,"Minima",IF(C6&lt;31,"Bassa",IF(C6&lt;101,"Moderata",IF(C6&lt;=301,"Significativa","Elevata")))))</f>
        <v/>
      </c>
      <c r="D14" s="608"/>
      <c r="E14" s="420" t="str">
        <f>IF(B14="","",IF(C14="Minima",0,IF(C14="Bassa",1,IF(C14="Moderata",2,IF(C14="Significativa",3,IF(C14="Elevata",4,0))))))</f>
        <v/>
      </c>
      <c r="F14" s="421">
        <v>1.1000000000000001</v>
      </c>
      <c r="G14" s="422" t="str">
        <f t="shared" ref="G14:G23" si="0">IF(E14="","",E14*F14)</f>
        <v/>
      </c>
      <c r="H14" s="423" t="s">
        <v>116</v>
      </c>
      <c r="I14" s="423" t="s">
        <v>117</v>
      </c>
      <c r="J14" s="424" t="s">
        <v>118</v>
      </c>
      <c r="K14" s="424" t="s">
        <v>119</v>
      </c>
      <c r="L14" s="425" t="s">
        <v>120</v>
      </c>
    </row>
    <row r="15" spans="1:15" ht="62.5" customHeight="1" x14ac:dyDescent="0.5">
      <c r="A15" s="683" t="s">
        <v>121</v>
      </c>
      <c r="B15" s="684"/>
      <c r="C15" s="426"/>
      <c r="D15" s="609"/>
      <c r="E15" s="427" t="str">
        <f t="shared" ref="E15:E23" si="1">IF(C15="","",IF(C15="Minima",0,IF(C15="Bassa",1,IF(C15="Moderata",2,IF(C15="Significativa",3,IF(C15="Elevata",4,0))))))</f>
        <v/>
      </c>
      <c r="F15" s="428">
        <v>1.2</v>
      </c>
      <c r="G15" s="429" t="str">
        <f t="shared" si="0"/>
        <v/>
      </c>
      <c r="H15" s="430" t="s">
        <v>122</v>
      </c>
      <c r="I15" s="431" t="s">
        <v>123</v>
      </c>
      <c r="J15" s="431" t="s">
        <v>124</v>
      </c>
      <c r="K15" s="431" t="s">
        <v>125</v>
      </c>
      <c r="L15" s="432" t="s">
        <v>126</v>
      </c>
    </row>
    <row r="16" spans="1:15" ht="191.5" customHeight="1" x14ac:dyDescent="0.5">
      <c r="A16" s="681" t="s">
        <v>127</v>
      </c>
      <c r="B16" s="682"/>
      <c r="C16" s="433"/>
      <c r="D16" s="610"/>
      <c r="E16" s="434" t="str">
        <f t="shared" si="1"/>
        <v/>
      </c>
      <c r="F16" s="435">
        <v>1</v>
      </c>
      <c r="G16" s="436" t="str">
        <f t="shared" si="0"/>
        <v/>
      </c>
      <c r="H16" s="437" t="s">
        <v>128</v>
      </c>
      <c r="I16" s="438" t="s">
        <v>129</v>
      </c>
      <c r="J16" s="439" t="s">
        <v>130</v>
      </c>
      <c r="K16" s="439" t="s">
        <v>131</v>
      </c>
      <c r="L16" s="440" t="s">
        <v>132</v>
      </c>
    </row>
    <row r="17" spans="1:13" ht="67" customHeight="1" x14ac:dyDescent="0.5">
      <c r="A17" s="681" t="s">
        <v>133</v>
      </c>
      <c r="B17" s="682"/>
      <c r="C17" s="433"/>
      <c r="D17" s="610"/>
      <c r="E17" s="434" t="str">
        <f t="shared" si="1"/>
        <v/>
      </c>
      <c r="F17" s="435">
        <v>1</v>
      </c>
      <c r="G17" s="436" t="str">
        <f t="shared" si="0"/>
        <v/>
      </c>
      <c r="H17" s="441" t="s">
        <v>134</v>
      </c>
      <c r="I17" s="439" t="s">
        <v>135</v>
      </c>
      <c r="J17" s="439" t="s">
        <v>136</v>
      </c>
      <c r="K17" s="439" t="s">
        <v>137</v>
      </c>
      <c r="L17" s="440" t="s">
        <v>138</v>
      </c>
    </row>
    <row r="18" spans="1:13" ht="67.5" customHeight="1" x14ac:dyDescent="0.5">
      <c r="A18" s="681" t="s">
        <v>139</v>
      </c>
      <c r="B18" s="682"/>
      <c r="C18" s="433"/>
      <c r="D18" s="610"/>
      <c r="E18" s="434" t="str">
        <f t="shared" si="1"/>
        <v/>
      </c>
      <c r="F18" s="435">
        <v>0.8</v>
      </c>
      <c r="G18" s="436" t="str">
        <f t="shared" si="0"/>
        <v/>
      </c>
      <c r="H18" s="437" t="s">
        <v>140</v>
      </c>
      <c r="I18" s="438" t="s">
        <v>141</v>
      </c>
      <c r="J18" s="439" t="s">
        <v>142</v>
      </c>
      <c r="K18" s="439" t="s">
        <v>143</v>
      </c>
      <c r="L18" s="440" t="s">
        <v>144</v>
      </c>
    </row>
    <row r="19" spans="1:13" ht="49.5" customHeight="1" x14ac:dyDescent="0.5">
      <c r="A19" s="681" t="s">
        <v>145</v>
      </c>
      <c r="B19" s="682"/>
      <c r="C19" s="433"/>
      <c r="D19" s="610"/>
      <c r="E19" s="434" t="str">
        <f t="shared" si="1"/>
        <v/>
      </c>
      <c r="F19" s="435">
        <v>0.9</v>
      </c>
      <c r="G19" s="436" t="str">
        <f t="shared" si="0"/>
        <v/>
      </c>
      <c r="H19" s="437" t="s">
        <v>140</v>
      </c>
      <c r="I19" s="438" t="s">
        <v>146</v>
      </c>
      <c r="J19" s="439" t="s">
        <v>147</v>
      </c>
      <c r="K19" s="439" t="s">
        <v>148</v>
      </c>
      <c r="L19" s="440" t="s">
        <v>149</v>
      </c>
    </row>
    <row r="20" spans="1:13" ht="92.5" customHeight="1" x14ac:dyDescent="0.5">
      <c r="A20" s="685" t="s">
        <v>150</v>
      </c>
      <c r="B20" s="686"/>
      <c r="C20" s="433"/>
      <c r="D20" s="610"/>
      <c r="E20" s="434" t="str">
        <f t="shared" si="1"/>
        <v/>
      </c>
      <c r="F20" s="435">
        <v>0.9</v>
      </c>
      <c r="G20" s="436" t="str">
        <f t="shared" si="0"/>
        <v/>
      </c>
      <c r="H20" s="441" t="s">
        <v>151</v>
      </c>
      <c r="I20" s="439" t="s">
        <v>342</v>
      </c>
      <c r="J20" s="439" t="s">
        <v>343</v>
      </c>
      <c r="K20" s="439" t="s">
        <v>152</v>
      </c>
      <c r="L20" s="440" t="s">
        <v>153</v>
      </c>
    </row>
    <row r="21" spans="1:13" ht="57.5" customHeight="1" x14ac:dyDescent="0.5">
      <c r="A21" s="685" t="s">
        <v>154</v>
      </c>
      <c r="B21" s="686"/>
      <c r="C21" s="433"/>
      <c r="D21" s="610"/>
      <c r="E21" s="434" t="str">
        <f t="shared" si="1"/>
        <v/>
      </c>
      <c r="F21" s="435">
        <v>1</v>
      </c>
      <c r="G21" s="436" t="str">
        <f t="shared" si="0"/>
        <v/>
      </c>
      <c r="H21" s="437" t="s">
        <v>155</v>
      </c>
      <c r="I21" s="438" t="s">
        <v>324</v>
      </c>
      <c r="J21" s="439" t="s">
        <v>156</v>
      </c>
      <c r="K21" s="439" t="s">
        <v>157</v>
      </c>
      <c r="L21" s="440" t="s">
        <v>158</v>
      </c>
    </row>
    <row r="22" spans="1:13" ht="136.5" customHeight="1" x14ac:dyDescent="0.5">
      <c r="A22" s="681" t="s">
        <v>159</v>
      </c>
      <c r="B22" s="682"/>
      <c r="C22" s="433"/>
      <c r="D22" s="610"/>
      <c r="E22" s="434" t="str">
        <f t="shared" si="1"/>
        <v/>
      </c>
      <c r="F22" s="435">
        <v>1</v>
      </c>
      <c r="G22" s="436" t="str">
        <f t="shared" si="0"/>
        <v/>
      </c>
      <c r="H22" s="437" t="s">
        <v>160</v>
      </c>
      <c r="I22" s="438" t="s">
        <v>161</v>
      </c>
      <c r="J22" s="439" t="s">
        <v>162</v>
      </c>
      <c r="K22" s="439" t="s">
        <v>163</v>
      </c>
      <c r="L22" s="440" t="s">
        <v>164</v>
      </c>
    </row>
    <row r="23" spans="1:13" ht="135" customHeight="1" thickBot="1" x14ac:dyDescent="0.55000000000000004">
      <c r="A23" s="679" t="s">
        <v>165</v>
      </c>
      <c r="B23" s="680"/>
      <c r="C23" s="442"/>
      <c r="D23" s="611"/>
      <c r="E23" s="420" t="str">
        <f t="shared" si="1"/>
        <v/>
      </c>
      <c r="F23" s="421">
        <v>1</v>
      </c>
      <c r="G23" s="422" t="str">
        <f t="shared" si="0"/>
        <v/>
      </c>
      <c r="H23" s="443" t="s">
        <v>166</v>
      </c>
      <c r="I23" s="444" t="s">
        <v>167</v>
      </c>
      <c r="J23" s="445" t="s">
        <v>168</v>
      </c>
      <c r="K23" s="445" t="s">
        <v>169</v>
      </c>
      <c r="L23" s="446" t="s">
        <v>170</v>
      </c>
    </row>
    <row r="24" spans="1:13" ht="21.5" thickBot="1" x14ac:dyDescent="0.55000000000000004">
      <c r="A24" s="447"/>
      <c r="B24" s="448"/>
      <c r="C24" s="449"/>
      <c r="D24" s="612"/>
      <c r="E24" s="450">
        <f>COUNTBLANK(E13:E23)</f>
        <v>11</v>
      </c>
      <c r="F24" s="451"/>
      <c r="G24" s="452" t="str">
        <f>IF(E24&gt;0,"Incompleto",IF(G12&lt;2,"Minima",IF(G12&lt;4,"Bassa",IF(G12&lt;6,"Moderata",IF(G12&lt;8,"Significativa","Elevata")))))</f>
        <v>Incompleto</v>
      </c>
      <c r="H24" s="453"/>
      <c r="I24" s="454"/>
      <c r="J24" s="454"/>
      <c r="K24" s="454"/>
      <c r="L24" s="455"/>
    </row>
    <row r="25" spans="1:13" s="542" customFormat="1" ht="32.5" customHeight="1" thickBot="1" x14ac:dyDescent="0.4">
      <c r="A25" s="581" t="s">
        <v>171</v>
      </c>
      <c r="B25" s="583">
        <f>COUNTA(E26:E29)</f>
        <v>4</v>
      </c>
      <c r="C25" s="593" t="s">
        <v>329</v>
      </c>
      <c r="D25" s="606" t="s">
        <v>95</v>
      </c>
      <c r="E25" s="585" t="str">
        <f>IF(E30&gt;0,"",SUM(E26:E29)/B25)</f>
        <v/>
      </c>
      <c r="F25" s="594">
        <f>AVERAGE(F26:F29)</f>
        <v>1</v>
      </c>
      <c r="G25" s="595" t="str">
        <f>IF(E30&gt;0,"Incompleto",AVERAGE(G26:G29)*10/4)</f>
        <v>Incompleto</v>
      </c>
      <c r="H25" s="596" t="s">
        <v>105</v>
      </c>
      <c r="I25" s="589" t="s">
        <v>59</v>
      </c>
      <c r="J25" s="590" t="s">
        <v>106</v>
      </c>
      <c r="K25" s="591" t="s">
        <v>107</v>
      </c>
      <c r="L25" s="592" t="s">
        <v>108</v>
      </c>
    </row>
    <row r="26" spans="1:13" ht="94" customHeight="1" x14ac:dyDescent="0.5">
      <c r="A26" s="683" t="s">
        <v>172</v>
      </c>
      <c r="B26" s="684"/>
      <c r="C26" s="426"/>
      <c r="D26" s="609"/>
      <c r="E26" s="410" t="str">
        <f>IF(C26="","",IF(C26="Minima",0,IF(C26="Bassa",1,IF(C26="Moderata",2,IF(C26="Significativa",3,IF(C26="Elevata",4,0))))))</f>
        <v/>
      </c>
      <c r="F26" s="456">
        <v>0.8</v>
      </c>
      <c r="G26" s="412" t="str">
        <f t="shared" ref="G26:G29" si="2">IF(E26="","",E26*F26)</f>
        <v/>
      </c>
      <c r="H26" s="457" t="s">
        <v>173</v>
      </c>
      <c r="I26" s="458" t="s">
        <v>174</v>
      </c>
      <c r="J26" s="431" t="s">
        <v>175</v>
      </c>
      <c r="K26" s="431" t="s">
        <v>176</v>
      </c>
      <c r="L26" s="432" t="s">
        <v>177</v>
      </c>
    </row>
    <row r="27" spans="1:13" ht="101" customHeight="1" x14ac:dyDescent="0.5">
      <c r="A27" s="681" t="s">
        <v>178</v>
      </c>
      <c r="B27" s="682"/>
      <c r="C27" s="433"/>
      <c r="D27" s="610"/>
      <c r="E27" s="434" t="str">
        <f t="shared" ref="E27:E29" si="3">IF(C27="","",IF(C27="Minima",0,IF(C27="Bassa",1,IF(C27="Moderata",2,IF(C27="Significativa",3,IF(C27="Elevata",4,0))))))</f>
        <v/>
      </c>
      <c r="F27" s="459">
        <v>1.2</v>
      </c>
      <c r="G27" s="436" t="str">
        <f t="shared" si="2"/>
        <v/>
      </c>
      <c r="H27" s="437" t="s">
        <v>179</v>
      </c>
      <c r="I27" s="438" t="s">
        <v>180</v>
      </c>
      <c r="J27" s="439" t="s">
        <v>181</v>
      </c>
      <c r="K27" s="439" t="s">
        <v>182</v>
      </c>
      <c r="L27" s="440" t="s">
        <v>183</v>
      </c>
    </row>
    <row r="28" spans="1:13" ht="66" customHeight="1" x14ac:dyDescent="0.5">
      <c r="A28" s="681" t="s">
        <v>184</v>
      </c>
      <c r="B28" s="682"/>
      <c r="C28" s="433"/>
      <c r="D28" s="610"/>
      <c r="E28" s="434" t="str">
        <f t="shared" si="3"/>
        <v/>
      </c>
      <c r="F28" s="459">
        <v>1.2</v>
      </c>
      <c r="G28" s="436" t="str">
        <f t="shared" si="2"/>
        <v/>
      </c>
      <c r="H28" s="437" t="s">
        <v>185</v>
      </c>
      <c r="I28" s="438" t="s">
        <v>186</v>
      </c>
      <c r="J28" s="439" t="s">
        <v>187</v>
      </c>
      <c r="K28" s="439" t="s">
        <v>188</v>
      </c>
      <c r="L28" s="440" t="s">
        <v>189</v>
      </c>
      <c r="M28" s="460"/>
    </row>
    <row r="29" spans="1:13" ht="127" customHeight="1" thickBot="1" x14ac:dyDescent="0.55000000000000004">
      <c r="A29" s="679" t="s">
        <v>190</v>
      </c>
      <c r="B29" s="680"/>
      <c r="C29" s="442"/>
      <c r="D29" s="613"/>
      <c r="E29" s="420" t="str">
        <f t="shared" si="3"/>
        <v/>
      </c>
      <c r="F29" s="461">
        <v>0.8</v>
      </c>
      <c r="G29" s="422" t="str">
        <f t="shared" si="2"/>
        <v/>
      </c>
      <c r="H29" s="443" t="s">
        <v>191</v>
      </c>
      <c r="I29" s="444" t="s">
        <v>192</v>
      </c>
      <c r="J29" s="445" t="s">
        <v>193</v>
      </c>
      <c r="K29" s="445" t="s">
        <v>194</v>
      </c>
      <c r="L29" s="446" t="s">
        <v>195</v>
      </c>
      <c r="M29" s="462"/>
    </row>
    <row r="30" spans="1:13" ht="21.5" thickBot="1" x14ac:dyDescent="0.55000000000000004">
      <c r="A30" s="463"/>
      <c r="B30" s="464"/>
      <c r="C30" s="449"/>
      <c r="D30" s="612"/>
      <c r="E30" s="450">
        <f>COUNTBLANK(E26:E29)</f>
        <v>4</v>
      </c>
      <c r="F30" s="451"/>
      <c r="G30" s="465" t="str">
        <f>IF(E30&gt;0,"Incompleto",IF(G25&lt;2,"Minima",IF(G25&lt;4,"Bassa",IF(G25&lt;6,"Moderata",IF(G25&lt;8,"Significativa","Elevata")))))</f>
        <v>Incompleto</v>
      </c>
      <c r="H30" s="466"/>
      <c r="I30" s="466"/>
      <c r="J30" s="467"/>
      <c r="K30" s="467"/>
      <c r="L30" s="468"/>
      <c r="M30" s="462"/>
    </row>
    <row r="31" spans="1:13" s="542" customFormat="1" ht="28" customHeight="1" thickBot="1" x14ac:dyDescent="0.4">
      <c r="A31" s="597" t="s">
        <v>196</v>
      </c>
      <c r="B31" s="583">
        <f>COUNTA(E32:E36)</f>
        <v>5</v>
      </c>
      <c r="C31" s="593" t="s">
        <v>329</v>
      </c>
      <c r="D31" s="606" t="s">
        <v>104</v>
      </c>
      <c r="E31" s="585" t="str">
        <f>IF(E37&gt;0,"",SUM(E32:E36)/B31)</f>
        <v/>
      </c>
      <c r="F31" s="594">
        <f>AVERAGE(F32:F36)</f>
        <v>1</v>
      </c>
      <c r="G31" s="595" t="str">
        <f>IF(E37&gt;0,"Incompleto",AVERAGE(G32:G36)*10/4)</f>
        <v>Incompleto</v>
      </c>
      <c r="H31" s="596" t="s">
        <v>105</v>
      </c>
      <c r="I31" s="589" t="s">
        <v>59</v>
      </c>
      <c r="J31" s="590" t="s">
        <v>106</v>
      </c>
      <c r="K31" s="591" t="s">
        <v>107</v>
      </c>
      <c r="L31" s="592" t="s">
        <v>108</v>
      </c>
      <c r="M31" s="543"/>
    </row>
    <row r="32" spans="1:13" ht="56" customHeight="1" thickBot="1" x14ac:dyDescent="0.55000000000000004">
      <c r="A32" s="469" t="s">
        <v>99</v>
      </c>
      <c r="B32" s="470" t="str">
        <f>IF(C7="","",C7)</f>
        <v/>
      </c>
      <c r="C32" s="471" t="str">
        <f>IF(C7="","",IF(C7&lt;4,"Minima",IF(C7&lt;11,"Bassa",IF(C7&lt;21,"Moderata",IF(C7&lt;=41,"Significativa","Elevata")))))</f>
        <v/>
      </c>
      <c r="D32" s="614"/>
      <c r="E32" s="410" t="str">
        <f>IF(B32="","",IF(C32="Minima",0,IF(C32="Bassa",1,IF(C32="Moderata",2,IF(C32="Significativa",3,IF(C32="Elevata",4,0))))))</f>
        <v/>
      </c>
      <c r="F32" s="472">
        <v>1.3</v>
      </c>
      <c r="G32" s="412" t="str">
        <f t="shared" ref="G32:G36" si="4">IF(E32="","",E32*F32)</f>
        <v/>
      </c>
      <c r="H32" s="473" t="s">
        <v>197</v>
      </c>
      <c r="I32" s="474" t="s">
        <v>198</v>
      </c>
      <c r="J32" s="474" t="s">
        <v>199</v>
      </c>
      <c r="K32" s="474" t="s">
        <v>200</v>
      </c>
      <c r="L32" s="475" t="s">
        <v>201</v>
      </c>
      <c r="M32" s="462"/>
    </row>
    <row r="33" spans="1:13" ht="73" customHeight="1" x14ac:dyDescent="0.5">
      <c r="A33" s="683" t="s">
        <v>202</v>
      </c>
      <c r="B33" s="684"/>
      <c r="C33" s="426"/>
      <c r="D33" s="609"/>
      <c r="E33" s="434" t="str">
        <f t="shared" ref="E33:E36" si="5">IF(C33="","",IF(C33="Minima",0,IF(C33="Bassa",1,IF(C33="Moderata",2,IF(C33="Significativa",3,IF(C33="Elevata",4,0))))))</f>
        <v/>
      </c>
      <c r="F33" s="476">
        <v>1.2</v>
      </c>
      <c r="G33" s="436" t="str">
        <f t="shared" si="4"/>
        <v/>
      </c>
      <c r="H33" s="430" t="s">
        <v>203</v>
      </c>
      <c r="I33" s="431" t="s">
        <v>204</v>
      </c>
      <c r="J33" s="431" t="s">
        <v>205</v>
      </c>
      <c r="K33" s="431" t="s">
        <v>206</v>
      </c>
      <c r="L33" s="432" t="s">
        <v>207</v>
      </c>
      <c r="M33" s="462"/>
    </row>
    <row r="34" spans="1:13" ht="55" customHeight="1" x14ac:dyDescent="0.5">
      <c r="A34" s="681" t="s">
        <v>208</v>
      </c>
      <c r="B34" s="682"/>
      <c r="C34" s="433"/>
      <c r="D34" s="610"/>
      <c r="E34" s="434" t="str">
        <f t="shared" si="5"/>
        <v/>
      </c>
      <c r="F34" s="477">
        <v>0.6</v>
      </c>
      <c r="G34" s="436" t="str">
        <f t="shared" si="4"/>
        <v/>
      </c>
      <c r="H34" s="437" t="s">
        <v>209</v>
      </c>
      <c r="I34" s="438" t="s">
        <v>210</v>
      </c>
      <c r="J34" s="439" t="s">
        <v>211</v>
      </c>
      <c r="K34" s="439" t="s">
        <v>212</v>
      </c>
      <c r="L34" s="440" t="s">
        <v>213</v>
      </c>
      <c r="M34" s="462"/>
    </row>
    <row r="35" spans="1:13" ht="153.5" customHeight="1" x14ac:dyDescent="0.5">
      <c r="A35" s="681" t="s">
        <v>214</v>
      </c>
      <c r="B35" s="682"/>
      <c r="C35" s="433"/>
      <c r="D35" s="610"/>
      <c r="E35" s="434" t="str">
        <f t="shared" si="5"/>
        <v/>
      </c>
      <c r="F35" s="477">
        <v>1</v>
      </c>
      <c r="G35" s="436" t="str">
        <f>IF(E35="","",E35*F35)</f>
        <v/>
      </c>
      <c r="H35" s="437" t="s">
        <v>215</v>
      </c>
      <c r="I35" s="438" t="s">
        <v>216</v>
      </c>
      <c r="J35" s="439" t="s">
        <v>217</v>
      </c>
      <c r="K35" s="439" t="s">
        <v>218</v>
      </c>
      <c r="L35" s="440" t="s">
        <v>219</v>
      </c>
      <c r="M35" s="462"/>
    </row>
    <row r="36" spans="1:13" ht="70.5" customHeight="1" thickBot="1" x14ac:dyDescent="0.55000000000000004">
      <c r="A36" s="679" t="s">
        <v>220</v>
      </c>
      <c r="B36" s="680"/>
      <c r="C36" s="442"/>
      <c r="D36" s="611"/>
      <c r="E36" s="420" t="str">
        <f t="shared" si="5"/>
        <v/>
      </c>
      <c r="F36" s="478">
        <v>0.9</v>
      </c>
      <c r="G36" s="422" t="str">
        <f t="shared" si="4"/>
        <v/>
      </c>
      <c r="H36" s="443" t="s">
        <v>221</v>
      </c>
      <c r="I36" s="444" t="s">
        <v>222</v>
      </c>
      <c r="J36" s="445" t="s">
        <v>223</v>
      </c>
      <c r="K36" s="445" t="s">
        <v>224</v>
      </c>
      <c r="L36" s="446" t="s">
        <v>225</v>
      </c>
      <c r="M36" s="479"/>
    </row>
    <row r="37" spans="1:13" ht="21.5" thickBot="1" x14ac:dyDescent="0.55000000000000004">
      <c r="A37" s="480"/>
      <c r="B37" s="481"/>
      <c r="C37" s="481"/>
      <c r="D37" s="615"/>
      <c r="E37" s="482">
        <f>COUNTBLANK(E32:E36)</f>
        <v>5</v>
      </c>
      <c r="F37" s="483"/>
      <c r="G37" s="452" t="str">
        <f>IF(E37&gt;0,"Incompleto",IF(G31&lt;2,"Minima",IF(G31&lt;4,"Bassa",IF(G31&lt;6,"Moderata",IF(G31&lt;8,"Significativa","Elevata")))))</f>
        <v>Incompleto</v>
      </c>
      <c r="H37" s="484"/>
      <c r="I37" s="484"/>
      <c r="J37" s="484"/>
      <c r="K37" s="485"/>
      <c r="L37" s="486"/>
    </row>
    <row r="38" spans="1:13" s="544" customFormat="1" ht="31.5" customHeight="1" thickBot="1" x14ac:dyDescent="0.4">
      <c r="A38" s="598" t="s">
        <v>226</v>
      </c>
      <c r="B38" s="583">
        <f>COUNTA(E39:E41)</f>
        <v>3</v>
      </c>
      <c r="C38" s="593" t="s">
        <v>329</v>
      </c>
      <c r="D38" s="606" t="s">
        <v>95</v>
      </c>
      <c r="E38" s="585" t="str">
        <f>IF(E42&gt;0,"",SUM(E39:E41)/B38)</f>
        <v/>
      </c>
      <c r="F38" s="594">
        <f>AVERAGE(F39:F41)</f>
        <v>1</v>
      </c>
      <c r="G38" s="595" t="str">
        <f>IF(E42&gt;0,"Incompleto",AVERAGE(G39:G41)*10/4)</f>
        <v>Incompleto</v>
      </c>
      <c r="H38" s="596" t="s">
        <v>105</v>
      </c>
      <c r="I38" s="589" t="s">
        <v>59</v>
      </c>
      <c r="J38" s="590" t="s">
        <v>106</v>
      </c>
      <c r="K38" s="591" t="s">
        <v>107</v>
      </c>
      <c r="L38" s="592" t="s">
        <v>108</v>
      </c>
    </row>
    <row r="39" spans="1:13" ht="128.5" customHeight="1" x14ac:dyDescent="0.5">
      <c r="A39" s="683" t="s">
        <v>227</v>
      </c>
      <c r="B39" s="684"/>
      <c r="C39" s="426"/>
      <c r="D39" s="609"/>
      <c r="E39" s="410" t="str">
        <f t="shared" ref="E39:E41" si="6">IF(C39="","",IF(C39="Minima",0,IF(C39="Bassa",1,IF(C39="Moderata",2,IF(C39="Significativa",3,IF(C39="Elevata",4,0))))))</f>
        <v/>
      </c>
      <c r="F39" s="487">
        <v>1</v>
      </c>
      <c r="G39" s="412" t="str">
        <f>IF(E39="","",E39*F39)</f>
        <v/>
      </c>
      <c r="H39" s="457" t="s">
        <v>228</v>
      </c>
      <c r="I39" s="458" t="s">
        <v>229</v>
      </c>
      <c r="J39" s="458" t="s">
        <v>230</v>
      </c>
      <c r="K39" s="458" t="s">
        <v>231</v>
      </c>
      <c r="L39" s="432" t="s">
        <v>232</v>
      </c>
    </row>
    <row r="40" spans="1:13" ht="148.5" customHeight="1" x14ac:dyDescent="0.5">
      <c r="A40" s="681" t="s">
        <v>233</v>
      </c>
      <c r="B40" s="682"/>
      <c r="C40" s="433"/>
      <c r="D40" s="610"/>
      <c r="E40" s="434" t="str">
        <f t="shared" si="6"/>
        <v/>
      </c>
      <c r="F40" s="459">
        <v>1</v>
      </c>
      <c r="G40" s="436" t="str">
        <f t="shared" ref="G40:G41" si="7">IF(E40="","",E40*F40)</f>
        <v/>
      </c>
      <c r="H40" s="437" t="s">
        <v>140</v>
      </c>
      <c r="I40" s="438" t="s">
        <v>234</v>
      </c>
      <c r="J40" s="438" t="s">
        <v>235</v>
      </c>
      <c r="K40" s="438" t="s">
        <v>236</v>
      </c>
      <c r="L40" s="440" t="s">
        <v>237</v>
      </c>
    </row>
    <row r="41" spans="1:13" ht="101.5" customHeight="1" thickBot="1" x14ac:dyDescent="0.55000000000000004">
      <c r="A41" s="679" t="s">
        <v>238</v>
      </c>
      <c r="B41" s="680"/>
      <c r="C41" s="442"/>
      <c r="D41" s="611"/>
      <c r="E41" s="420" t="str">
        <f t="shared" si="6"/>
        <v/>
      </c>
      <c r="F41" s="461">
        <v>1</v>
      </c>
      <c r="G41" s="422" t="str">
        <f t="shared" si="7"/>
        <v/>
      </c>
      <c r="H41" s="443" t="s">
        <v>140</v>
      </c>
      <c r="I41" s="445" t="s">
        <v>239</v>
      </c>
      <c r="J41" s="445" t="s">
        <v>240</v>
      </c>
      <c r="K41" s="445" t="s">
        <v>241</v>
      </c>
      <c r="L41" s="446" t="s">
        <v>242</v>
      </c>
    </row>
    <row r="42" spans="1:13" ht="21.5" thickBot="1" x14ac:dyDescent="0.55000000000000004">
      <c r="A42" s="463"/>
      <c r="B42" s="464"/>
      <c r="C42" s="449"/>
      <c r="D42" s="612"/>
      <c r="E42" s="488">
        <f>COUNTBLANK(E39:E41)</f>
        <v>3</v>
      </c>
      <c r="F42" s="489"/>
      <c r="G42" s="490" t="str">
        <f>IF(E42&gt;0,"Incompleto",IF(G38&lt;2,"Minima",IF(G38&lt;4,"Bassa",IF(G38&lt;6,"Moderata",IF(G38&lt;8,"Significativa","Elevata")))))</f>
        <v>Incompleto</v>
      </c>
      <c r="H42" s="491"/>
      <c r="I42" s="492"/>
      <c r="J42" s="492"/>
      <c r="K42" s="492"/>
      <c r="L42" s="493"/>
    </row>
    <row r="43" spans="1:13" s="542" customFormat="1" ht="32.5" customHeight="1" thickBot="1" x14ac:dyDescent="0.4">
      <c r="A43" s="581" t="s">
        <v>243</v>
      </c>
      <c r="B43" s="583">
        <f>COUNTA(E44:E49)</f>
        <v>6</v>
      </c>
      <c r="C43" s="593" t="s">
        <v>329</v>
      </c>
      <c r="D43" s="606" t="s">
        <v>104</v>
      </c>
      <c r="E43" s="585" t="str">
        <f>IF(E50&gt;0,"",SUM(E44:E49)/B43)</f>
        <v/>
      </c>
      <c r="F43" s="594">
        <f>AVERAGE(F44:F49)</f>
        <v>1.0000000000000002</v>
      </c>
      <c r="G43" s="595" t="str">
        <f>IF(E50&gt;0,"Incompleto",AVERAGE(G44:G49)*10/4)</f>
        <v>Incompleto</v>
      </c>
      <c r="H43" s="588" t="s">
        <v>105</v>
      </c>
      <c r="I43" s="589" t="s">
        <v>59</v>
      </c>
      <c r="J43" s="590" t="s">
        <v>106</v>
      </c>
      <c r="K43" s="591" t="s">
        <v>107</v>
      </c>
      <c r="L43" s="592" t="s">
        <v>108</v>
      </c>
    </row>
    <row r="44" spans="1:13" ht="117" customHeight="1" x14ac:dyDescent="0.5">
      <c r="A44" s="683" t="s">
        <v>244</v>
      </c>
      <c r="B44" s="684"/>
      <c r="C44" s="426"/>
      <c r="D44" s="609"/>
      <c r="E44" s="410" t="str">
        <f>IF(C44="","",IF(C44="Minima",0,IF(C44="Bassa",1,IF(C44="Moderata",2,IF(C44="Significativa",3,IF(C44="Elevata",4,0))))))</f>
        <v/>
      </c>
      <c r="F44" s="411">
        <v>1.1000000000000001</v>
      </c>
      <c r="G44" s="412" t="str">
        <f t="shared" ref="G44:G49" si="8">IF(E44="","",E44*F44)</f>
        <v/>
      </c>
      <c r="H44" s="494" t="s">
        <v>245</v>
      </c>
      <c r="I44" s="495" t="s">
        <v>246</v>
      </c>
      <c r="J44" s="495" t="s">
        <v>247</v>
      </c>
      <c r="K44" s="495" t="s">
        <v>248</v>
      </c>
      <c r="L44" s="496" t="s">
        <v>249</v>
      </c>
    </row>
    <row r="45" spans="1:13" ht="118.5" customHeight="1" x14ac:dyDescent="0.5">
      <c r="A45" s="681" t="s">
        <v>250</v>
      </c>
      <c r="B45" s="682"/>
      <c r="C45" s="433"/>
      <c r="D45" s="610"/>
      <c r="E45" s="434" t="str">
        <f t="shared" ref="E45:E49" si="9">IF(C45="","",IF(C45="Minima",0,IF(C45="Bassa",1,IF(C45="Moderata",2,IF(C45="Significativa",3,IF(C45="Elevata",4,0))))))</f>
        <v/>
      </c>
      <c r="F45" s="435">
        <v>1.1000000000000001</v>
      </c>
      <c r="G45" s="436" t="str">
        <f t="shared" si="8"/>
        <v/>
      </c>
      <c r="H45" s="497" t="s">
        <v>251</v>
      </c>
      <c r="I45" s="498" t="s">
        <v>252</v>
      </c>
      <c r="J45" s="498" t="s">
        <v>253</v>
      </c>
      <c r="K45" s="498" t="s">
        <v>254</v>
      </c>
      <c r="L45" s="499" t="s">
        <v>255</v>
      </c>
    </row>
    <row r="46" spans="1:13" ht="214" customHeight="1" x14ac:dyDescent="0.5">
      <c r="A46" s="681" t="s">
        <v>256</v>
      </c>
      <c r="B46" s="682"/>
      <c r="C46" s="433"/>
      <c r="D46" s="610"/>
      <c r="E46" s="434" t="str">
        <f t="shared" si="9"/>
        <v/>
      </c>
      <c r="F46" s="435">
        <v>1</v>
      </c>
      <c r="G46" s="436" t="str">
        <f t="shared" si="8"/>
        <v/>
      </c>
      <c r="H46" s="497" t="s">
        <v>257</v>
      </c>
      <c r="I46" s="498" t="s">
        <v>258</v>
      </c>
      <c r="J46" s="498" t="s">
        <v>331</v>
      </c>
      <c r="K46" s="498" t="s">
        <v>259</v>
      </c>
      <c r="L46" s="499" t="s">
        <v>260</v>
      </c>
    </row>
    <row r="47" spans="1:13" ht="109" customHeight="1" x14ac:dyDescent="0.5">
      <c r="A47" s="681" t="s">
        <v>261</v>
      </c>
      <c r="B47" s="682"/>
      <c r="C47" s="433"/>
      <c r="D47" s="610"/>
      <c r="E47" s="434" t="str">
        <f t="shared" si="9"/>
        <v/>
      </c>
      <c r="F47" s="435">
        <v>0.9</v>
      </c>
      <c r="G47" s="436" t="str">
        <f t="shared" si="8"/>
        <v/>
      </c>
      <c r="H47" s="497" t="s">
        <v>262</v>
      </c>
      <c r="I47" s="498" t="s">
        <v>263</v>
      </c>
      <c r="J47" s="498" t="s">
        <v>264</v>
      </c>
      <c r="K47" s="498" t="s">
        <v>265</v>
      </c>
      <c r="L47" s="499" t="s">
        <v>266</v>
      </c>
    </row>
    <row r="48" spans="1:13" ht="170.5" customHeight="1" x14ac:dyDescent="0.5">
      <c r="A48" s="681" t="s">
        <v>267</v>
      </c>
      <c r="B48" s="682"/>
      <c r="C48" s="433"/>
      <c r="D48" s="610"/>
      <c r="E48" s="434" t="str">
        <f t="shared" si="9"/>
        <v/>
      </c>
      <c r="F48" s="435">
        <v>1</v>
      </c>
      <c r="G48" s="436" t="str">
        <f t="shared" si="8"/>
        <v/>
      </c>
      <c r="H48" s="497" t="s">
        <v>268</v>
      </c>
      <c r="I48" s="498" t="s">
        <v>269</v>
      </c>
      <c r="J48" s="498" t="s">
        <v>270</v>
      </c>
      <c r="K48" s="498" t="s">
        <v>271</v>
      </c>
      <c r="L48" s="499" t="s">
        <v>272</v>
      </c>
    </row>
    <row r="49" spans="1:13" ht="78.5" customHeight="1" thickBot="1" x14ac:dyDescent="0.55000000000000004">
      <c r="A49" s="679" t="s">
        <v>273</v>
      </c>
      <c r="B49" s="680"/>
      <c r="C49" s="442"/>
      <c r="D49" s="611"/>
      <c r="E49" s="420" t="str">
        <f t="shared" si="9"/>
        <v/>
      </c>
      <c r="F49" s="421">
        <v>0.9</v>
      </c>
      <c r="G49" s="422" t="str">
        <f t="shared" si="8"/>
        <v/>
      </c>
      <c r="H49" s="500" t="s">
        <v>274</v>
      </c>
      <c r="I49" s="501" t="s">
        <v>275</v>
      </c>
      <c r="J49" s="501" t="s">
        <v>276</v>
      </c>
      <c r="K49" s="501" t="s">
        <v>277</v>
      </c>
      <c r="L49" s="502" t="s">
        <v>278</v>
      </c>
    </row>
    <row r="50" spans="1:13" ht="10" customHeight="1" thickBot="1" x14ac:dyDescent="0.55000000000000004">
      <c r="A50" s="503"/>
      <c r="B50" s="504"/>
      <c r="C50" s="505"/>
      <c r="D50" s="616"/>
      <c r="E50" s="506">
        <f>COUNTBLANK(E44:E49)</f>
        <v>6</v>
      </c>
      <c r="F50" s="507"/>
      <c r="G50" s="508" t="str">
        <f>IF(E50&gt;0,"Incompleto",IF(G43&lt;2,"Minima",IF(G43&lt;4,"Bassa",IF(G43&lt;6,"Moderata",IF(G43&lt;8,"Significativa","Elevata")))))</f>
        <v>Incompleto</v>
      </c>
      <c r="H50" s="509"/>
      <c r="I50" s="510"/>
      <c r="J50" s="510"/>
      <c r="K50" s="510"/>
      <c r="L50" s="511"/>
    </row>
    <row r="51" spans="1:13" ht="11" customHeight="1" x14ac:dyDescent="0.5">
      <c r="A51" s="512"/>
      <c r="B51" s="513"/>
      <c r="C51" s="513"/>
      <c r="D51" s="617"/>
      <c r="E51" s="513"/>
      <c r="F51" s="513"/>
      <c r="G51" s="513"/>
      <c r="H51" s="514"/>
      <c r="I51" s="513"/>
      <c r="J51" s="513"/>
      <c r="K51" s="515"/>
      <c r="L51" s="516"/>
      <c r="M51" s="517"/>
    </row>
    <row r="52" spans="1:13" ht="20" hidden="1" customHeight="1" thickBot="1" x14ac:dyDescent="0.55000000000000004">
      <c r="A52" s="518" t="s">
        <v>279</v>
      </c>
      <c r="B52" s="519" t="str">
        <f>IF(COUNTBLANK(C3:C49)&lt;&gt;5,"Incompleto",IF(C52&lt;2,"Minima",IF(C52&lt;4,"Bassa",IF(C52&lt;6,"Moderata",IF(C52&lt;8,"Significativa","Elevata")))))</f>
        <v>Incompleto</v>
      </c>
      <c r="C52" s="520">
        <f>(C53)/(B12+B25+B31+B38+B43)</f>
        <v>0</v>
      </c>
      <c r="D52" s="618"/>
      <c r="E52" s="521"/>
      <c r="F52" s="521"/>
      <c r="G52" s="521"/>
      <c r="H52" s="392"/>
      <c r="I52" s="392"/>
      <c r="J52" s="522"/>
      <c r="K52" s="392"/>
      <c r="L52" s="392"/>
      <c r="M52" s="523"/>
    </row>
    <row r="53" spans="1:13" ht="20" hidden="1" customHeight="1" thickTop="1" x14ac:dyDescent="0.5">
      <c r="A53" s="524"/>
      <c r="B53" s="525" t="s">
        <v>280</v>
      </c>
      <c r="C53" s="526">
        <f>(SUM(E13:E23)+SUM(E26:E29)+SUM(E33:E36)+SUM(E39:E41)+SUM(E44:E49))*10/4</f>
        <v>0</v>
      </c>
      <c r="D53" s="619"/>
      <c r="E53" s="527"/>
      <c r="F53" s="521"/>
      <c r="G53" s="388"/>
      <c r="H53" s="528"/>
      <c r="I53" s="529"/>
      <c r="J53" s="530"/>
      <c r="K53" s="529"/>
      <c r="L53" s="529"/>
      <c r="M53" s="523"/>
    </row>
    <row r="54" spans="1:13" ht="20" hidden="1" customHeight="1" x14ac:dyDescent="0.5">
      <c r="A54" s="524"/>
      <c r="B54" s="531"/>
      <c r="C54" s="532"/>
      <c r="D54" s="620"/>
      <c r="E54" s="525"/>
      <c r="G54" s="388"/>
      <c r="H54" s="529"/>
      <c r="I54" s="529"/>
      <c r="J54" s="530"/>
      <c r="K54" s="529"/>
      <c r="L54" s="529"/>
      <c r="M54" s="523"/>
    </row>
    <row r="55" spans="1:13" ht="20" hidden="1" customHeight="1" x14ac:dyDescent="0.5">
      <c r="A55" s="524"/>
      <c r="B55" s="531"/>
      <c r="C55" s="532"/>
      <c r="D55" s="620"/>
      <c r="E55" s="525"/>
      <c r="G55" s="388"/>
      <c r="H55" s="529"/>
      <c r="I55" s="529"/>
      <c r="J55" s="530"/>
      <c r="K55" s="529"/>
      <c r="L55" s="529"/>
      <c r="M55" s="523"/>
    </row>
    <row r="56" spans="1:13" ht="20" hidden="1" customHeight="1" thickBot="1" x14ac:dyDescent="0.55000000000000004">
      <c r="A56" s="518" t="s">
        <v>281</v>
      </c>
      <c r="B56" s="519" t="str">
        <f>IF(COUNTBLANK(C3:C49)&lt;&gt;5,"Incompleto",IF(C56&lt;2,"Minima",IF(C56&lt;4,"Bassa",IF(C56&lt;6,"Moderata",IF(C56&lt;8,"Significativa","Elevata")))))</f>
        <v>Incompleto</v>
      </c>
      <c r="C56" s="520">
        <f>(C57)/(B12+B25+B31+B38+B43)</f>
        <v>0</v>
      </c>
      <c r="D56" s="618"/>
      <c r="F56" s="533">
        <f>AVERAGE(F12,F38,F25,F43,F31)</f>
        <v>1</v>
      </c>
      <c r="G56" s="526"/>
      <c r="H56" s="529"/>
      <c r="I56" s="529"/>
      <c r="J56" s="530"/>
      <c r="K56" s="529"/>
      <c r="L56" s="529"/>
      <c r="M56" s="523"/>
    </row>
    <row r="57" spans="1:13" ht="20" hidden="1" customHeight="1" thickTop="1" x14ac:dyDescent="0.5">
      <c r="A57" s="524"/>
      <c r="B57" s="525" t="s">
        <v>280</v>
      </c>
      <c r="C57" s="526">
        <f>(SUM(G13:G23)+SUM(G26:G29)+SUM(G32:G36)+SUM(G39:G41)+SUM(G44:G49))*10/4</f>
        <v>0</v>
      </c>
      <c r="D57" s="621"/>
      <c r="E57" s="531"/>
      <c r="F57" s="525" t="s">
        <v>282</v>
      </c>
      <c r="G57" s="525"/>
      <c r="H57" s="529"/>
      <c r="I57" s="529"/>
      <c r="J57" s="529"/>
      <c r="K57" s="529"/>
      <c r="L57" s="529"/>
      <c r="M57" s="523"/>
    </row>
    <row r="58" spans="1:13" ht="10" hidden="1" customHeight="1" thickBot="1" x14ac:dyDescent="0.55000000000000004">
      <c r="A58" s="534"/>
      <c r="B58" s="535"/>
      <c r="C58" s="536"/>
      <c r="D58" s="622"/>
      <c r="E58" s="537"/>
      <c r="F58" s="535"/>
      <c r="G58" s="535"/>
      <c r="H58" s="538"/>
      <c r="I58" s="538"/>
      <c r="J58" s="538"/>
      <c r="K58" s="538"/>
      <c r="L58" s="538"/>
      <c r="M58" s="539"/>
    </row>
    <row r="59" spans="1:13" ht="27.5" hidden="1" customHeight="1" x14ac:dyDescent="0.5">
      <c r="A59" s="540"/>
      <c r="B59" s="531"/>
      <c r="C59" s="529"/>
      <c r="D59" s="623"/>
      <c r="E59" s="529"/>
      <c r="F59" s="385"/>
      <c r="G59" s="385"/>
      <c r="H59" s="385"/>
      <c r="I59" s="385"/>
      <c r="J59" s="385"/>
      <c r="K59" s="385"/>
    </row>
    <row r="60" spans="1:13" ht="20" hidden="1" customHeight="1" x14ac:dyDescent="0.5">
      <c r="A60" s="540"/>
      <c r="B60" s="531"/>
      <c r="C60" s="529"/>
      <c r="D60" s="623"/>
      <c r="E60" s="529"/>
      <c r="F60" s="385"/>
      <c r="G60" s="385"/>
      <c r="H60" s="385"/>
      <c r="I60" s="385"/>
      <c r="J60" s="385"/>
      <c r="K60" s="385"/>
    </row>
    <row r="61" spans="1:13" ht="20" hidden="1" customHeight="1" x14ac:dyDescent="0.5">
      <c r="C61" s="389"/>
      <c r="D61" s="624"/>
      <c r="E61" s="389"/>
      <c r="F61" s="385"/>
      <c r="G61" s="385"/>
      <c r="H61" s="385"/>
      <c r="I61" s="385"/>
      <c r="J61" s="385"/>
      <c r="K61" s="385"/>
    </row>
    <row r="62" spans="1:13" ht="20" hidden="1" customHeight="1" x14ac:dyDescent="0.5">
      <c r="C62" s="389"/>
      <c r="D62" s="624"/>
      <c r="E62" s="389"/>
      <c r="F62" s="385"/>
      <c r="G62" s="385"/>
      <c r="H62" s="385"/>
      <c r="I62" s="385"/>
      <c r="J62" s="385"/>
      <c r="K62" s="385"/>
    </row>
    <row r="63" spans="1:13" ht="20" hidden="1" customHeight="1" x14ac:dyDescent="0.5">
      <c r="C63" s="389"/>
      <c r="D63" s="624"/>
      <c r="E63" s="385"/>
      <c r="F63" s="385"/>
      <c r="G63" s="385"/>
      <c r="H63" s="385"/>
      <c r="I63" s="385"/>
      <c r="J63" s="385"/>
      <c r="K63" s="385"/>
    </row>
    <row r="64" spans="1:13" ht="20" hidden="1" customHeight="1" x14ac:dyDescent="0.5">
      <c r="C64" s="389"/>
      <c r="D64" s="624"/>
      <c r="E64" s="385"/>
      <c r="F64" s="385"/>
      <c r="G64" s="385"/>
      <c r="H64" s="385"/>
      <c r="I64" s="385"/>
      <c r="J64" s="385"/>
      <c r="K64" s="385"/>
    </row>
    <row r="65" spans="3:11" ht="20" hidden="1" customHeight="1" x14ac:dyDescent="0.5">
      <c r="C65" s="389"/>
      <c r="D65" s="624"/>
      <c r="E65" s="385"/>
      <c r="F65" s="385"/>
      <c r="G65" s="385"/>
      <c r="H65" s="385"/>
      <c r="I65" s="385"/>
      <c r="J65" s="385"/>
      <c r="K65" s="385"/>
    </row>
    <row r="66" spans="3:11" ht="20" hidden="1" customHeight="1" x14ac:dyDescent="0.5">
      <c r="C66" s="389"/>
      <c r="D66" s="624"/>
      <c r="E66" s="385"/>
      <c r="F66" s="385"/>
      <c r="G66" s="385"/>
      <c r="H66" s="385"/>
      <c r="I66" s="385"/>
      <c r="J66" s="385"/>
      <c r="K66" s="385"/>
    </row>
    <row r="67" spans="3:11" ht="20" hidden="1" customHeight="1" x14ac:dyDescent="0.5">
      <c r="C67" s="389"/>
      <c r="D67" s="624"/>
      <c r="E67" s="389"/>
      <c r="F67" s="385"/>
      <c r="G67" s="385"/>
      <c r="H67" s="385"/>
      <c r="I67" s="385"/>
      <c r="J67" s="385"/>
      <c r="K67" s="385"/>
    </row>
    <row r="68" spans="3:11" ht="20" hidden="1" customHeight="1" x14ac:dyDescent="0.5">
      <c r="C68" s="389"/>
      <c r="D68" s="624"/>
      <c r="E68" s="389"/>
      <c r="F68" s="385"/>
      <c r="G68" s="385"/>
      <c r="H68" s="385"/>
      <c r="I68" s="385"/>
      <c r="J68" s="385"/>
      <c r="K68" s="385"/>
    </row>
    <row r="69" spans="3:11" ht="20" hidden="1" customHeight="1" x14ac:dyDescent="0.5">
      <c r="C69" s="389"/>
      <c r="D69" s="624"/>
      <c r="E69" s="389"/>
      <c r="F69" s="385"/>
      <c r="G69" s="385"/>
      <c r="H69" s="385"/>
      <c r="I69" s="385"/>
      <c r="J69" s="385"/>
      <c r="K69" s="385"/>
    </row>
    <row r="70" spans="3:11" ht="20" hidden="1" customHeight="1" x14ac:dyDescent="0.5"/>
  </sheetData>
  <sheetProtection algorithmName="SHA-512" hashValue="T81VThANhEgry8NaOpGEktojWoaFPQwAu4FT/sj7/8Mng4SZDvenKek2p5CRwRa/AdzrPniKjXvpJOWLB89lBw==" saltValue="pEtoUHIF0ljfZthQW/vA3g==" spinCount="100000" sheet="1" objects="1" scenarios="1" selectLockedCells="1"/>
  <mergeCells count="38">
    <mergeCell ref="A1:L1"/>
    <mergeCell ref="H6:I6"/>
    <mergeCell ref="A3:B3"/>
    <mergeCell ref="A4:B4"/>
    <mergeCell ref="A5:B5"/>
    <mergeCell ref="A6:B6"/>
    <mergeCell ref="A19:B19"/>
    <mergeCell ref="A7:B7"/>
    <mergeCell ref="H7:I7"/>
    <mergeCell ref="A8:B8"/>
    <mergeCell ref="H8:I8"/>
    <mergeCell ref="A9:B9"/>
    <mergeCell ref="H9:I9"/>
    <mergeCell ref="A15:B15"/>
    <mergeCell ref="A16:B16"/>
    <mergeCell ref="A17:B17"/>
    <mergeCell ref="A18:B18"/>
    <mergeCell ref="A34:B34"/>
    <mergeCell ref="A20:B20"/>
    <mergeCell ref="A21:B21"/>
    <mergeCell ref="A22:B22"/>
    <mergeCell ref="A23:B23"/>
    <mergeCell ref="A26:B26"/>
    <mergeCell ref="A27:B27"/>
    <mergeCell ref="A28:B28"/>
    <mergeCell ref="A29:B29"/>
    <mergeCell ref="A33:B33"/>
    <mergeCell ref="A49:B49"/>
    <mergeCell ref="A48:B48"/>
    <mergeCell ref="A35:B35"/>
    <mergeCell ref="A36:B36"/>
    <mergeCell ref="A39:B39"/>
    <mergeCell ref="A40:B40"/>
    <mergeCell ref="A41:B41"/>
    <mergeCell ref="A44:B44"/>
    <mergeCell ref="A45:B45"/>
    <mergeCell ref="A46:B46"/>
    <mergeCell ref="A47:B47"/>
  </mergeCells>
  <dataValidations count="5">
    <dataValidation type="list" allowBlank="1" showInputMessage="1" showErrorMessage="1" sqref="C39:C41" xr:uid="{8C721361-4EAF-484D-BA63-20BAE18BE5CC}">
      <formula1>$H$38:$L$38</formula1>
    </dataValidation>
    <dataValidation type="list" allowBlank="1" showInputMessage="1" showErrorMessage="1" sqref="C26:C29" xr:uid="{377088F3-6A6F-4046-BFD2-A27EB4B30B2B}">
      <formula1>$H$25:$L$25</formula1>
    </dataValidation>
    <dataValidation type="list" allowBlank="1" showInputMessage="1" showErrorMessage="1" sqref="C44:C49" xr:uid="{CBBD4169-6055-4648-8C50-0C14B0A71851}">
      <formula1>$H$43:$L$43</formula1>
    </dataValidation>
    <dataValidation type="list" allowBlank="1" showInputMessage="1" showErrorMessage="1" sqref="C15:C23" xr:uid="{9405E540-BC72-4A01-B506-672C166EA105}">
      <formula1>$H$12:$L$12</formula1>
    </dataValidation>
    <dataValidation type="list" allowBlank="1" showInputMessage="1" showErrorMessage="1" sqref="C33:C36" xr:uid="{053A4832-CB87-4D61-B905-9BEE7ADF7533}">
      <formula1>$H$31:$L$31</formula1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CF6851-3483-4BCD-9EC5-3013EC48B308}">
  <sheetPr codeName="Foglio2">
    <tabColor theme="6" tint="0.79998168889431442"/>
  </sheetPr>
  <dimension ref="A1:H44"/>
  <sheetViews>
    <sheetView showGridLines="0" topLeftCell="A7" zoomScale="80" zoomScaleNormal="80" workbookViewId="0">
      <selection activeCell="H2" sqref="H2"/>
    </sheetView>
  </sheetViews>
  <sheetFormatPr defaultColWidth="0" defaultRowHeight="14.5" zeroHeight="1" x14ac:dyDescent="0.3"/>
  <cols>
    <col min="1" max="1" width="24.81640625" style="306" customWidth="1"/>
    <col min="2" max="2" width="54.1796875" style="320" customWidth="1"/>
    <col min="3" max="3" width="30" style="305" customWidth="1"/>
    <col min="4" max="4" width="26.1796875" style="305" customWidth="1"/>
    <col min="5" max="5" width="15.54296875" style="305" hidden="1" customWidth="1"/>
    <col min="6" max="6" width="11.90625" style="305" hidden="1" customWidth="1"/>
    <col min="7" max="7" width="37.36328125" style="306" customWidth="1"/>
    <col min="8" max="8" width="2.08984375" style="306" customWidth="1"/>
    <col min="9" max="16384" width="11.90625" style="306" hidden="1"/>
  </cols>
  <sheetData>
    <row r="1" spans="1:7" ht="33.5" customHeight="1" thickBot="1" x14ac:dyDescent="0.35">
      <c r="A1" s="693" t="s">
        <v>323</v>
      </c>
      <c r="B1" s="694"/>
      <c r="C1" s="694"/>
      <c r="D1" s="694"/>
      <c r="E1" s="694"/>
      <c r="F1" s="694"/>
      <c r="G1" s="695"/>
    </row>
    <row r="2" spans="1:7" ht="29" customHeight="1" thickBot="1" x14ac:dyDescent="0.35">
      <c r="A2" s="313"/>
      <c r="B2" s="326"/>
      <c r="G2" s="327"/>
    </row>
    <row r="3" spans="1:7" ht="46" customHeight="1" thickBot="1" x14ac:dyDescent="0.35">
      <c r="A3" s="313"/>
      <c r="B3" s="345" t="s">
        <v>330</v>
      </c>
      <c r="C3" s="346" t="s">
        <v>283</v>
      </c>
      <c r="D3" s="347" t="s">
        <v>284</v>
      </c>
      <c r="E3" s="307" t="s">
        <v>285</v>
      </c>
      <c r="F3" s="308" t="s">
        <v>286</v>
      </c>
      <c r="G3" s="327"/>
    </row>
    <row r="4" spans="1:7" ht="21.5" customHeight="1" x14ac:dyDescent="0.3">
      <c r="A4" s="313"/>
      <c r="B4" s="377" t="s">
        <v>103</v>
      </c>
      <c r="C4" s="378" t="str">
        <f>'Val. Complessità'!G24</f>
        <v>Incompleto</v>
      </c>
      <c r="D4" s="379" t="str">
        <f>'Val. Complessità'!G12</f>
        <v>Incompleto</v>
      </c>
      <c r="E4" s="309">
        <f>'Val. Complessità'!B12</f>
        <v>11</v>
      </c>
      <c r="F4" s="310">
        <f>E4/$E$10</f>
        <v>0.37931034482758619</v>
      </c>
      <c r="G4" s="327"/>
    </row>
    <row r="5" spans="1:7" ht="21.5" customHeight="1" x14ac:dyDescent="0.3">
      <c r="A5" s="313"/>
      <c r="B5" s="377" t="s">
        <v>287</v>
      </c>
      <c r="C5" s="380" t="str">
        <f>'Val. Complessità'!G30</f>
        <v>Incompleto</v>
      </c>
      <c r="D5" s="381" t="str">
        <f>'Val. Complessità'!G25</f>
        <v>Incompleto</v>
      </c>
      <c r="E5" s="311">
        <f>'Val. Complessità'!B25</f>
        <v>4</v>
      </c>
      <c r="F5" s="312">
        <f>E5/$E$10</f>
        <v>0.13793103448275862</v>
      </c>
      <c r="G5" s="328"/>
    </row>
    <row r="6" spans="1:7" ht="21.5" customHeight="1" x14ac:dyDescent="0.3">
      <c r="A6" s="313"/>
      <c r="B6" s="377" t="s">
        <v>288</v>
      </c>
      <c r="C6" s="380" t="str">
        <f>'Val. Complessità'!G37</f>
        <v>Incompleto</v>
      </c>
      <c r="D6" s="381" t="str">
        <f>'Val. Complessità'!G31</f>
        <v>Incompleto</v>
      </c>
      <c r="E6" s="311">
        <f>'Val. Complessità'!B31</f>
        <v>5</v>
      </c>
      <c r="F6" s="312">
        <f>E6/$E$10</f>
        <v>0.17241379310344829</v>
      </c>
      <c r="G6" s="327"/>
    </row>
    <row r="7" spans="1:7" ht="21.5" customHeight="1" x14ac:dyDescent="0.3">
      <c r="A7" s="313"/>
      <c r="B7" s="377" t="s">
        <v>226</v>
      </c>
      <c r="C7" s="380" t="str">
        <f>'Val. Complessità'!G42</f>
        <v>Incompleto</v>
      </c>
      <c r="D7" s="381" t="str">
        <f>'Val. Complessità'!G38</f>
        <v>Incompleto</v>
      </c>
      <c r="E7" s="311">
        <f>'Val. Complessità'!B38</f>
        <v>3</v>
      </c>
      <c r="F7" s="312">
        <f>E7/$E$10</f>
        <v>0.10344827586206896</v>
      </c>
      <c r="G7" s="327"/>
    </row>
    <row r="8" spans="1:7" ht="21.5" customHeight="1" thickBot="1" x14ac:dyDescent="0.35">
      <c r="A8" s="313"/>
      <c r="B8" s="382" t="s">
        <v>243</v>
      </c>
      <c r="C8" s="383" t="str">
        <f>'Val. Complessità'!G50</f>
        <v>Incompleto</v>
      </c>
      <c r="D8" s="384" t="str">
        <f>'Val. Complessità'!G43</f>
        <v>Incompleto</v>
      </c>
      <c r="E8" s="314">
        <f>'Val. Complessità'!B43</f>
        <v>6</v>
      </c>
      <c r="F8" s="315">
        <f>E8/$E$10</f>
        <v>0.20689655172413793</v>
      </c>
      <c r="G8" s="327"/>
    </row>
    <row r="9" spans="1:7" ht="24.5" customHeight="1" x14ac:dyDescent="0.3">
      <c r="A9" s="313"/>
      <c r="B9" s="348" t="s">
        <v>289</v>
      </c>
      <c r="C9" s="349" t="str">
        <f>IF(COUNT(D4:D8)&lt;5,"Incompleto",IF(D9&lt;2,"Minima",IF(D9&lt;4,"Bassa",IF(D9&lt;6,"Moderata",IF(D9&lt;8,"Significativa","Elevata")))))</f>
        <v>Incompleto</v>
      </c>
      <c r="D9" s="350" t="str">
        <f>IF(COUNT(D4:D8)&lt;5,"Incompleto",AVERAGE(D4:D8))</f>
        <v>Incompleto</v>
      </c>
      <c r="E9" s="316" t="s">
        <v>290</v>
      </c>
      <c r="F9" s="317" t="s">
        <v>290</v>
      </c>
      <c r="G9" s="327"/>
    </row>
    <row r="10" spans="1:7" ht="24.5" customHeight="1" thickBot="1" x14ac:dyDescent="0.35">
      <c r="A10" s="313"/>
      <c r="B10" s="351" t="s">
        <v>291</v>
      </c>
      <c r="C10" s="352" t="str">
        <f>'Val. Complessità'!B56</f>
        <v>Incompleto</v>
      </c>
      <c r="D10" s="353" t="str">
        <f>IF(COUNT(D4:D8)&lt;5,"Incompleto",SUMPRODUCT(D4:D8,F4:F8))</f>
        <v>Incompleto</v>
      </c>
      <c r="E10" s="318">
        <f>SUM(E4:E8)</f>
        <v>29</v>
      </c>
      <c r="F10" s="319">
        <f>SUM(F4:F8)</f>
        <v>0.99999999999999989</v>
      </c>
      <c r="G10" s="327"/>
    </row>
    <row r="11" spans="1:7" ht="23.5" x14ac:dyDescent="0.3">
      <c r="A11" s="313"/>
      <c r="B11" s="329"/>
      <c r="C11" s="330"/>
      <c r="D11" s="331"/>
      <c r="E11" s="332"/>
      <c r="F11" s="332"/>
      <c r="G11" s="327"/>
    </row>
    <row r="12" spans="1:7" ht="23.5" x14ac:dyDescent="0.3">
      <c r="A12" s="313"/>
      <c r="B12" s="333"/>
      <c r="C12" s="330"/>
      <c r="D12" s="331"/>
      <c r="E12" s="334"/>
      <c r="F12" s="334"/>
      <c r="G12" s="327"/>
    </row>
    <row r="13" spans="1:7" ht="23.5" x14ac:dyDescent="0.3">
      <c r="A13" s="313"/>
      <c r="B13" s="333"/>
      <c r="C13" s="330"/>
      <c r="D13" s="331"/>
      <c r="E13" s="334"/>
      <c r="F13" s="334"/>
      <c r="G13" s="327"/>
    </row>
    <row r="14" spans="1:7" ht="23.5" x14ac:dyDescent="0.3">
      <c r="A14" s="313"/>
      <c r="B14" s="333"/>
      <c r="C14" s="330"/>
      <c r="D14" s="331"/>
      <c r="E14" s="334"/>
      <c r="F14" s="334"/>
      <c r="G14" s="327"/>
    </row>
    <row r="15" spans="1:7" x14ac:dyDescent="0.3">
      <c r="A15" s="313"/>
      <c r="B15" s="335"/>
      <c r="C15" s="336"/>
      <c r="D15" s="337"/>
      <c r="E15" s="337"/>
      <c r="F15" s="337"/>
      <c r="G15" s="327"/>
    </row>
    <row r="16" spans="1:7" x14ac:dyDescent="0.3">
      <c r="A16" s="313"/>
      <c r="B16" s="335"/>
      <c r="C16" s="336"/>
      <c r="D16" s="337"/>
      <c r="E16" s="337"/>
      <c r="F16" s="337"/>
      <c r="G16" s="327"/>
    </row>
    <row r="17" spans="1:7" x14ac:dyDescent="0.3">
      <c r="A17" s="313"/>
      <c r="B17" s="335"/>
      <c r="C17" s="336"/>
      <c r="D17" s="337"/>
      <c r="E17" s="337"/>
      <c r="F17" s="337"/>
      <c r="G17" s="327"/>
    </row>
    <row r="18" spans="1:7" ht="26" x14ac:dyDescent="0.3">
      <c r="A18" s="313"/>
      <c r="B18" s="338"/>
      <c r="C18" s="339"/>
      <c r="D18" s="340"/>
      <c r="E18" s="340"/>
      <c r="F18" s="340"/>
      <c r="G18" s="327"/>
    </row>
    <row r="19" spans="1:7" x14ac:dyDescent="0.3">
      <c r="A19" s="313"/>
      <c r="B19" s="335"/>
      <c r="C19" s="336"/>
      <c r="D19" s="337"/>
      <c r="E19" s="337"/>
      <c r="F19" s="337"/>
      <c r="G19" s="327"/>
    </row>
    <row r="20" spans="1:7" x14ac:dyDescent="0.3">
      <c r="A20" s="313"/>
      <c r="B20" s="335"/>
      <c r="C20" s="336"/>
      <c r="D20" s="337"/>
      <c r="E20" s="337"/>
      <c r="F20" s="337"/>
      <c r="G20" s="327"/>
    </row>
    <row r="21" spans="1:7" x14ac:dyDescent="0.3">
      <c r="A21" s="313"/>
      <c r="B21" s="335"/>
      <c r="C21" s="336"/>
      <c r="D21" s="337"/>
      <c r="E21" s="337"/>
      <c r="F21" s="337"/>
      <c r="G21" s="327"/>
    </row>
    <row r="22" spans="1:7" x14ac:dyDescent="0.3">
      <c r="A22" s="313"/>
      <c r="B22" s="335"/>
      <c r="C22" s="336"/>
      <c r="D22" s="337"/>
      <c r="E22" s="337"/>
      <c r="F22" s="337"/>
      <c r="G22" s="327"/>
    </row>
    <row r="23" spans="1:7" x14ac:dyDescent="0.3">
      <c r="A23" s="313"/>
      <c r="B23" s="335"/>
      <c r="C23" s="336"/>
      <c r="D23" s="337"/>
      <c r="E23" s="337"/>
      <c r="F23" s="337"/>
      <c r="G23" s="327"/>
    </row>
    <row r="24" spans="1:7" x14ac:dyDescent="0.3">
      <c r="A24" s="313"/>
      <c r="B24" s="335"/>
      <c r="C24" s="336"/>
      <c r="D24" s="337"/>
      <c r="E24" s="337"/>
      <c r="F24" s="337"/>
      <c r="G24" s="327"/>
    </row>
    <row r="25" spans="1:7" x14ac:dyDescent="0.3">
      <c r="A25" s="313"/>
      <c r="B25" s="335"/>
      <c r="C25" s="336"/>
      <c r="D25" s="337"/>
      <c r="E25" s="337"/>
      <c r="F25" s="337"/>
      <c r="G25" s="327"/>
    </row>
    <row r="26" spans="1:7" x14ac:dyDescent="0.3">
      <c r="A26" s="313"/>
      <c r="B26" s="335"/>
      <c r="C26" s="336"/>
      <c r="D26" s="337"/>
      <c r="E26" s="337"/>
      <c r="F26" s="337"/>
      <c r="G26" s="327"/>
    </row>
    <row r="27" spans="1:7" x14ac:dyDescent="0.3">
      <c r="A27" s="313"/>
      <c r="G27" s="327"/>
    </row>
    <row r="28" spans="1:7" x14ac:dyDescent="0.3">
      <c r="A28" s="313"/>
      <c r="G28" s="327"/>
    </row>
    <row r="29" spans="1:7" x14ac:dyDescent="0.3">
      <c r="A29" s="313"/>
      <c r="G29" s="327"/>
    </row>
    <row r="30" spans="1:7" x14ac:dyDescent="0.3">
      <c r="A30" s="313"/>
      <c r="G30" s="327"/>
    </row>
    <row r="31" spans="1:7" x14ac:dyDescent="0.3">
      <c r="A31" s="313"/>
      <c r="G31" s="327"/>
    </row>
    <row r="32" spans="1:7" x14ac:dyDescent="0.3">
      <c r="A32" s="313"/>
      <c r="G32" s="327"/>
    </row>
    <row r="33" spans="1:7" x14ac:dyDescent="0.3">
      <c r="A33" s="313"/>
      <c r="G33" s="327"/>
    </row>
    <row r="34" spans="1:7" x14ac:dyDescent="0.3">
      <c r="A34" s="313"/>
      <c r="G34" s="327"/>
    </row>
    <row r="35" spans="1:7" x14ac:dyDescent="0.3">
      <c r="A35" s="313"/>
      <c r="G35" s="327"/>
    </row>
    <row r="36" spans="1:7" x14ac:dyDescent="0.3">
      <c r="A36" s="313"/>
      <c r="G36" s="327"/>
    </row>
    <row r="37" spans="1:7" x14ac:dyDescent="0.3">
      <c r="A37" s="313"/>
      <c r="G37" s="327"/>
    </row>
    <row r="38" spans="1:7" x14ac:dyDescent="0.3">
      <c r="A38" s="313"/>
      <c r="G38" s="327"/>
    </row>
    <row r="39" spans="1:7" x14ac:dyDescent="0.3">
      <c r="A39" s="313"/>
      <c r="G39" s="327"/>
    </row>
    <row r="40" spans="1:7" x14ac:dyDescent="0.3">
      <c r="A40" s="313"/>
      <c r="G40" s="327"/>
    </row>
    <row r="41" spans="1:7" x14ac:dyDescent="0.3">
      <c r="A41" s="313"/>
      <c r="G41" s="327"/>
    </row>
    <row r="42" spans="1:7" ht="15" thickBot="1" x14ac:dyDescent="0.35">
      <c r="A42" s="341"/>
      <c r="B42" s="342"/>
      <c r="C42" s="343"/>
      <c r="D42" s="343"/>
      <c r="E42" s="343"/>
      <c r="F42" s="343"/>
      <c r="G42" s="344"/>
    </row>
    <row r="43" spans="1:7" x14ac:dyDescent="0.3"/>
    <row r="44" spans="1:7" hidden="1" x14ac:dyDescent="0.3">
      <c r="B44" s="321"/>
      <c r="C44" s="322"/>
    </row>
  </sheetData>
  <sheetProtection algorithmName="SHA-512" hashValue="/F5nqwLY0KZknWFvB1Np4lYhHi6JTnXnKbN3WDyBe7zBap+9cKYOSGHY0BZpMZaALX2hgGWyBN5Uv+hRPD8yxw==" saltValue="10m/m/JmamRWT2wDds/myw==" spinCount="100000" sheet="1" objects="1" scenarios="1" selectLockedCells="1"/>
  <mergeCells count="1">
    <mergeCell ref="A1:G1"/>
  </mergeCells>
  <conditionalFormatting sqref="E12:F14">
    <cfRule type="cellIs" dxfId="37" priority="8" operator="equal">
      <formula>"Most"</formula>
    </cfRule>
    <cfRule type="cellIs" dxfId="36" priority="9" operator="equal">
      <formula>"Significant"</formula>
    </cfRule>
    <cfRule type="cellIs" dxfId="35" priority="10" operator="equal">
      <formula>"Moderate"</formula>
    </cfRule>
    <cfRule type="cellIs" dxfId="34" priority="11" operator="equal">
      <formula>"Least"</formula>
    </cfRule>
    <cfRule type="cellIs" dxfId="33" priority="12" operator="equal">
      <formula>"Minimal"</formula>
    </cfRule>
  </conditionalFormatting>
  <conditionalFormatting sqref="E4:F10 E12:F14">
    <cfRule type="cellIs" dxfId="32" priority="2" operator="equal">
      <formula>"Complete"</formula>
    </cfRule>
  </conditionalFormatting>
  <conditionalFormatting sqref="E4:F10">
    <cfRule type="cellIs" dxfId="31" priority="3" operator="equal">
      <formula>"Most"</formula>
    </cfRule>
    <cfRule type="cellIs" dxfId="30" priority="4" operator="equal">
      <formula>"Moderate"</formula>
    </cfRule>
    <cfRule type="cellIs" dxfId="29" priority="5" operator="equal">
      <formula>"Least"</formula>
    </cfRule>
    <cfRule type="cellIs" dxfId="28" priority="6" operator="equal">
      <formula>"Minimal"</formula>
    </cfRule>
  </conditionalFormatting>
  <conditionalFormatting sqref="C9:C10">
    <cfRule type="expression" dxfId="27" priority="7">
      <formula>IF(#REF!="Incomplete",#REF!,"")</formula>
    </cfRule>
  </conditionalFormatting>
  <conditionalFormatting sqref="D9:D10">
    <cfRule type="expression" dxfId="26" priority="1">
      <formula>IF(#REF!="Incomplete",#REF!,"")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4B0694-E2F8-4CDF-B4CA-75E7130771D0}">
  <sheetPr codeName="Foglio3"/>
  <dimension ref="A1:AC20"/>
  <sheetViews>
    <sheetView showGridLines="0" topLeftCell="A8" zoomScale="70" zoomScaleNormal="70" workbookViewId="0">
      <selection activeCell="C4" sqref="C4"/>
    </sheetView>
  </sheetViews>
  <sheetFormatPr defaultColWidth="0" defaultRowHeight="23.5" zeroHeight="1" x14ac:dyDescent="0.55000000000000004"/>
  <cols>
    <col min="1" max="1" width="4.54296875" style="20" customWidth="1"/>
    <col min="2" max="2" width="85.453125" style="288" customWidth="1"/>
    <col min="3" max="3" width="17.36328125" style="23" customWidth="1"/>
    <col min="4" max="6" width="10.6328125" style="20" hidden="1" customWidth="1"/>
    <col min="7" max="7" width="10.6328125" style="20" customWidth="1"/>
    <col min="8" max="10" width="8.81640625" style="20" customWidth="1"/>
    <col min="11" max="11" width="7.81640625" style="20" customWidth="1"/>
    <col min="12" max="12" width="7" style="20" customWidth="1"/>
    <col min="13" max="13" width="22.6328125" style="20" customWidth="1"/>
    <col min="14" max="16" width="8.81640625" style="20" customWidth="1"/>
    <col min="17" max="17" width="20.1796875" style="20" customWidth="1"/>
    <col min="18" max="18" width="8.81640625" style="20" customWidth="1"/>
    <col min="19" max="19" width="3.36328125" style="20" customWidth="1"/>
    <col min="20" max="28" width="8.81640625" style="20" hidden="1" customWidth="1"/>
    <col min="29" max="29" width="23.90625" style="20" hidden="1" customWidth="1"/>
    <col min="30" max="16384" width="8.81640625" style="20" hidden="1"/>
  </cols>
  <sheetData>
    <row r="1" spans="1:18" ht="37" customHeight="1" thickBot="1" x14ac:dyDescent="0.4">
      <c r="A1" s="696" t="s">
        <v>321</v>
      </c>
      <c r="B1" s="697"/>
      <c r="C1" s="697"/>
      <c r="D1" s="697"/>
      <c r="E1" s="697"/>
      <c r="F1" s="697"/>
      <c r="G1" s="697"/>
      <c r="H1" s="697"/>
      <c r="I1" s="697"/>
      <c r="J1" s="697"/>
      <c r="K1" s="697"/>
      <c r="L1" s="697"/>
      <c r="M1" s="697"/>
      <c r="N1" s="697"/>
      <c r="O1" s="697"/>
      <c r="P1" s="697"/>
      <c r="Q1" s="697"/>
      <c r="R1" s="698"/>
    </row>
    <row r="2" spans="1:18" ht="21.5" thickBot="1" x14ac:dyDescent="0.55000000000000004">
      <c r="A2" s="569"/>
      <c r="B2" s="304"/>
      <c r="C2" s="626"/>
      <c r="D2" s="304"/>
      <c r="E2" s="304"/>
      <c r="F2" s="304"/>
      <c r="G2" s="304"/>
      <c r="H2" s="304"/>
      <c r="I2" s="304"/>
      <c r="J2" s="304"/>
      <c r="K2" s="304"/>
      <c r="L2" s="304"/>
      <c r="M2" s="304"/>
      <c r="N2" s="304"/>
      <c r="O2" s="304"/>
      <c r="P2" s="304"/>
      <c r="Q2" s="304"/>
      <c r="R2" s="571"/>
    </row>
    <row r="3" spans="1:18" ht="38.5" customHeight="1" thickBot="1" x14ac:dyDescent="0.55000000000000004">
      <c r="A3" s="709" t="s">
        <v>305</v>
      </c>
      <c r="B3" s="710"/>
      <c r="C3" s="627" t="s">
        <v>329</v>
      </c>
      <c r="D3" s="375" t="s">
        <v>282</v>
      </c>
      <c r="E3" s="274" t="s">
        <v>306</v>
      </c>
      <c r="F3" s="569"/>
      <c r="G3" s="304"/>
      <c r="H3" s="304"/>
      <c r="I3" s="304"/>
      <c r="J3" s="304"/>
      <c r="K3" s="304"/>
      <c r="L3" s="304"/>
      <c r="M3" s="304"/>
      <c r="N3" s="304"/>
      <c r="O3" s="304"/>
      <c r="P3" s="304"/>
      <c r="Q3" s="304"/>
      <c r="R3" s="571"/>
    </row>
    <row r="4" spans="1:18" ht="84.5" customHeight="1" thickBot="1" x14ac:dyDescent="0.55000000000000004">
      <c r="A4" s="628">
        <v>1</v>
      </c>
      <c r="B4" s="629" t="s">
        <v>0</v>
      </c>
      <c r="C4" s="376"/>
      <c r="D4" s="302">
        <v>1</v>
      </c>
      <c r="E4" s="299" t="str">
        <f>IF(C4="","",IF(C4=Engine!$B$27,"N/A",IF(C4=Engine!$B$24,1,IF(C4=Engine!$B$25,0.5,0))))</f>
        <v/>
      </c>
      <c r="F4" s="304"/>
      <c r="G4" s="701"/>
      <c r="H4" s="701"/>
      <c r="I4" s="701"/>
      <c r="J4" s="702" t="str">
        <f>IF(OR(Cover!D6=0,Cover!D6=Engine!L23),"Selezionare tipo organizzazione nella scheda 'Cover'",Cover!D6)</f>
        <v>Selezionare tipo organizzazione nella scheda 'Cover'</v>
      </c>
      <c r="K4" s="703"/>
      <c r="L4" s="703"/>
      <c r="M4" s="704"/>
      <c r="N4" s="274" t="s">
        <v>65</v>
      </c>
      <c r="O4" s="705" t="s">
        <v>57</v>
      </c>
      <c r="P4" s="706"/>
      <c r="Q4" s="275" t="str">
        <f>IF(OR(Cover!D6=0,Cover!D6=Engine!L23),"Incompleto",IF(OR(J4=Engine!L24,J4=Engine!L25,J4=Engine!L26),"Molto Alta",IF(OR(J4=Engine!L27,J4=Engine!L28),"Alta",IF(OR(J4=Engine!L29,J4=Engine!L30,J4=Engine!L31,J4=Engine!L32),"Media",IF(OR(J4=Engine!L33,J4=Engine!L34,J4=Engine!L35,J4=Engine!L36,J4=Engine!L37),"Bassa","Molto Bassa")))))</f>
        <v>Incompleto</v>
      </c>
      <c r="R4" s="571"/>
    </row>
    <row r="5" spans="1:18" ht="81.5" customHeight="1" thickBot="1" x14ac:dyDescent="0.55000000000000004">
      <c r="A5" s="628">
        <v>2</v>
      </c>
      <c r="B5" s="629" t="s">
        <v>1</v>
      </c>
      <c r="C5" s="324"/>
      <c r="D5" s="302">
        <v>1</v>
      </c>
      <c r="E5" s="300" t="str">
        <f>IF(C5="","",IF(C5=Engine!$B$27,"N/A",IF(C5=Engine!$B$24,1,IF(C5=Engine!$B$25,0.5,0))))</f>
        <v/>
      </c>
      <c r="F5" s="304"/>
      <c r="G5" s="304"/>
      <c r="H5" s="304"/>
      <c r="I5" s="304"/>
      <c r="J5" s="304"/>
      <c r="K5" s="304"/>
      <c r="L5" s="304"/>
      <c r="M5" s="304"/>
      <c r="N5" s="304"/>
      <c r="O5" s="707" t="s">
        <v>66</v>
      </c>
      <c r="P5" s="708"/>
      <c r="Q5" s="276" t="str">
        <f>IF(Q4="Incompleto","",IF(Q4=Engine!E24,Engine!E25,IF(Q4=Engine!F24,Engine!F25,IF(Q4=Engine!G24,Engine!G25,IF(Q4=Engine!H24,Engine!H25,Engine!J25)))))</f>
        <v/>
      </c>
      <c r="R5" s="571"/>
    </row>
    <row r="6" spans="1:18" ht="61.5" customHeight="1" thickBot="1" x14ac:dyDescent="0.55000000000000004">
      <c r="A6" s="628">
        <v>3</v>
      </c>
      <c r="B6" s="629" t="s">
        <v>2</v>
      </c>
      <c r="C6" s="324"/>
      <c r="D6" s="302">
        <v>1</v>
      </c>
      <c r="E6" s="300" t="str">
        <f>IF(C6="","",IF(C6=Engine!$B$27,"N/A",IF(C6=Engine!$B$24,1,IF(C6=Engine!$B$25,0.5,0))))</f>
        <v/>
      </c>
      <c r="F6" s="304"/>
      <c r="G6" s="304"/>
      <c r="H6" s="304"/>
      <c r="I6" s="304"/>
      <c r="J6" s="304"/>
      <c r="K6" s="304"/>
      <c r="L6" s="304"/>
      <c r="M6" s="304"/>
      <c r="N6" s="304"/>
      <c r="O6" s="701"/>
      <c r="P6" s="701"/>
      <c r="Q6" s="304"/>
      <c r="R6" s="571"/>
    </row>
    <row r="7" spans="1:18" ht="82.5" customHeight="1" thickBot="1" x14ac:dyDescent="0.55000000000000004">
      <c r="A7" s="628">
        <v>4</v>
      </c>
      <c r="B7" s="629" t="s">
        <v>3</v>
      </c>
      <c r="C7" s="324"/>
      <c r="D7" s="302">
        <v>1</v>
      </c>
      <c r="E7" s="300" t="str">
        <f>IF(C7="","",IF(C7=Engine!$B$27,"N/A",IF(C7=Engine!$B$24,1,IF(C7=Engine!$B$25,0.5,0))))</f>
        <v/>
      </c>
      <c r="F7" s="304"/>
      <c r="G7" s="304"/>
      <c r="H7" s="304"/>
      <c r="I7" s="304"/>
      <c r="J7" s="304"/>
      <c r="K7" s="304"/>
      <c r="L7" s="304"/>
      <c r="M7" s="304"/>
      <c r="N7" s="304"/>
      <c r="O7" s="304"/>
      <c r="P7" s="304"/>
      <c r="Q7" s="304"/>
      <c r="R7" s="571"/>
    </row>
    <row r="8" spans="1:18" ht="84.5" customHeight="1" thickBot="1" x14ac:dyDescent="0.55000000000000004">
      <c r="A8" s="630">
        <v>5</v>
      </c>
      <c r="B8" s="631" t="s">
        <v>4</v>
      </c>
      <c r="C8" s="325"/>
      <c r="D8" s="303">
        <v>1</v>
      </c>
      <c r="E8" s="300" t="str">
        <f>IF(C8="","",IF(C8=Engine!$B$27,"N/A",IF(C8=Engine!$B$24,1,IF(C8=Engine!$B$25,0.5,0))))</f>
        <v/>
      </c>
      <c r="F8" s="304"/>
      <c r="G8" s="304"/>
      <c r="H8" s="304"/>
      <c r="I8" s="304"/>
      <c r="J8" s="699" t="s">
        <v>307</v>
      </c>
      <c r="K8" s="700"/>
      <c r="L8" s="700"/>
      <c r="M8" s="632" t="str" cm="1">
        <f t="array" ref="M8">IF(COUNTBLANK(C4:C18)&gt;0,"Incompleto",(SUMPRODUCT(--(E4:E18&lt;&gt;"N/A"),E4:E18,D4:D18)/SUMIF(E4:E18,"&lt;&gt;N/A",D4:D18))*10)</f>
        <v>Incompleto</v>
      </c>
      <c r="N8" s="304"/>
      <c r="O8" s="304"/>
      <c r="P8" s="304"/>
      <c r="Q8" s="304"/>
      <c r="R8" s="571"/>
    </row>
    <row r="9" spans="1:18" ht="84" customHeight="1" thickBot="1" x14ac:dyDescent="0.55000000000000004">
      <c r="A9" s="628">
        <v>6</v>
      </c>
      <c r="B9" s="629" t="s">
        <v>5</v>
      </c>
      <c r="C9" s="324"/>
      <c r="D9" s="302">
        <v>1</v>
      </c>
      <c r="E9" s="300" t="str">
        <f>IF(C9="","",IF(C9=Engine!$B$27,"N/A",IF(C9=Engine!$B$24,1,IF(C9=Engine!$B$25,0.5,0))))</f>
        <v/>
      </c>
      <c r="F9" s="304"/>
      <c r="G9" s="304"/>
      <c r="H9" s="304"/>
      <c r="I9" s="304"/>
      <c r="J9" s="304"/>
      <c r="K9" s="304"/>
      <c r="L9" s="304"/>
      <c r="M9" s="304"/>
      <c r="N9" s="304"/>
      <c r="O9" s="304"/>
      <c r="P9" s="304"/>
      <c r="Q9" s="304"/>
      <c r="R9" s="571"/>
    </row>
    <row r="10" spans="1:18" ht="106" customHeight="1" thickBot="1" x14ac:dyDescent="0.55000000000000004">
      <c r="A10" s="628">
        <v>7</v>
      </c>
      <c r="B10" s="629" t="s">
        <v>6</v>
      </c>
      <c r="C10" s="324"/>
      <c r="D10" s="302">
        <v>1</v>
      </c>
      <c r="E10" s="300" t="str">
        <f>IF(C10="","",IF(C10=Engine!$B$27,"N/A",IF(C10=Engine!$B$24,1,IF(C10=Engine!$B$25,0.5,0))))</f>
        <v/>
      </c>
      <c r="F10" s="304"/>
      <c r="G10" s="304"/>
      <c r="H10" s="304"/>
      <c r="I10" s="304"/>
      <c r="J10" s="304"/>
      <c r="K10" s="304"/>
      <c r="L10" s="304"/>
      <c r="M10" s="304"/>
      <c r="N10" s="304"/>
      <c r="O10" s="304"/>
      <c r="P10" s="304"/>
      <c r="Q10" s="304"/>
      <c r="R10" s="571"/>
    </row>
    <row r="11" spans="1:18" ht="105.5" customHeight="1" thickBot="1" x14ac:dyDescent="0.55000000000000004">
      <c r="A11" s="628">
        <v>8</v>
      </c>
      <c r="B11" s="629" t="s">
        <v>7</v>
      </c>
      <c r="C11" s="324"/>
      <c r="D11" s="302">
        <v>1</v>
      </c>
      <c r="E11" s="300" t="str">
        <f>IF(C11="","",IF(C11=Engine!$B$27,"N/A",IF(C11=Engine!$B$24,1,IF(C11=Engine!$B$25,0.5,0))))</f>
        <v/>
      </c>
      <c r="F11" s="304"/>
      <c r="G11" s="304"/>
      <c r="H11" s="304"/>
      <c r="I11" s="304"/>
      <c r="J11" s="304"/>
      <c r="K11" s="304"/>
      <c r="L11" s="304"/>
      <c r="M11" s="304"/>
      <c r="N11" s="304"/>
      <c r="O11" s="304"/>
      <c r="P11" s="304"/>
      <c r="Q11" s="304"/>
      <c r="R11" s="571"/>
    </row>
    <row r="12" spans="1:18" ht="55" customHeight="1" thickBot="1" x14ac:dyDescent="0.55000000000000004">
      <c r="A12" s="628">
        <v>9</v>
      </c>
      <c r="B12" s="629" t="s">
        <v>8</v>
      </c>
      <c r="C12" s="324"/>
      <c r="D12" s="302">
        <v>1</v>
      </c>
      <c r="E12" s="300" t="str">
        <f>IF(C12="","",IF(C12=Engine!$B$27,"N/A",IF(C12=Engine!$B$24,1,IF(C12=Engine!$B$25,0.5,0))))</f>
        <v/>
      </c>
      <c r="F12" s="304"/>
      <c r="G12" s="304"/>
      <c r="H12" s="304"/>
      <c r="I12" s="304"/>
      <c r="J12" s="304"/>
      <c r="K12" s="304"/>
      <c r="L12" s="304"/>
      <c r="M12" s="304"/>
      <c r="N12" s="304"/>
      <c r="O12" s="304"/>
      <c r="P12" s="304"/>
      <c r="Q12" s="304"/>
      <c r="R12" s="571"/>
    </row>
    <row r="13" spans="1:18" ht="126.5" thickBot="1" x14ac:dyDescent="0.55000000000000004">
      <c r="A13" s="628">
        <v>10</v>
      </c>
      <c r="B13" s="629" t="s">
        <v>9</v>
      </c>
      <c r="C13" s="324"/>
      <c r="D13" s="302">
        <v>1</v>
      </c>
      <c r="E13" s="300" t="str">
        <f>IF(C13="","",IF(C13=Engine!$B$27,"N/A",IF(C13=Engine!$B$24,1,IF(C13=Engine!$B$25,0.5,0))))</f>
        <v/>
      </c>
      <c r="F13" s="304"/>
      <c r="G13" s="304"/>
      <c r="H13" s="304"/>
      <c r="I13" s="304"/>
      <c r="J13" s="304"/>
      <c r="K13" s="304"/>
      <c r="L13" s="304"/>
      <c r="M13" s="304"/>
      <c r="N13" s="304"/>
      <c r="O13" s="304"/>
      <c r="P13" s="304"/>
      <c r="Q13" s="304"/>
      <c r="R13" s="571"/>
    </row>
    <row r="14" spans="1:18" ht="63.5" thickBot="1" x14ac:dyDescent="0.55000000000000004">
      <c r="A14" s="628">
        <v>11</v>
      </c>
      <c r="B14" s="629" t="s">
        <v>10</v>
      </c>
      <c r="C14" s="324"/>
      <c r="D14" s="302">
        <v>1</v>
      </c>
      <c r="E14" s="300" t="str">
        <f>IF(C14="","",IF(C14=Engine!$B$27,"N/A",IF(C14=Engine!$B$24,1,IF(C14=Engine!$B$25,0.5,0))))</f>
        <v/>
      </c>
      <c r="F14" s="304"/>
      <c r="G14" s="304"/>
      <c r="H14" s="304"/>
      <c r="I14" s="304"/>
      <c r="J14" s="304"/>
      <c r="K14" s="304"/>
      <c r="L14" s="304"/>
      <c r="M14" s="304"/>
      <c r="N14" s="304"/>
      <c r="O14" s="304"/>
      <c r="P14" s="304"/>
      <c r="Q14" s="304"/>
      <c r="R14" s="571"/>
    </row>
    <row r="15" spans="1:18" ht="82" customHeight="1" thickBot="1" x14ac:dyDescent="0.55000000000000004">
      <c r="A15" s="628">
        <v>12</v>
      </c>
      <c r="B15" s="629" t="s">
        <v>11</v>
      </c>
      <c r="C15" s="324"/>
      <c r="D15" s="302">
        <v>1</v>
      </c>
      <c r="E15" s="300" t="str">
        <f>IF(C15="","",IF(C15=Engine!$B$27,"N/A",IF(C15=Engine!$B$24,1,IF(C15=Engine!$B$25,0.5,0))))</f>
        <v/>
      </c>
      <c r="F15" s="304"/>
      <c r="G15" s="304"/>
      <c r="H15" s="304"/>
      <c r="I15" s="304"/>
      <c r="J15" s="304"/>
      <c r="K15" s="304"/>
      <c r="L15" s="304"/>
      <c r="M15" s="304"/>
      <c r="N15" s="304"/>
      <c r="O15" s="304"/>
      <c r="P15" s="304"/>
      <c r="Q15" s="304"/>
      <c r="R15" s="571"/>
    </row>
    <row r="16" spans="1:18" ht="85" customHeight="1" thickBot="1" x14ac:dyDescent="0.55000000000000004">
      <c r="A16" s="628">
        <v>13</v>
      </c>
      <c r="B16" s="629" t="s">
        <v>12</v>
      </c>
      <c r="C16" s="324"/>
      <c r="D16" s="302">
        <v>1</v>
      </c>
      <c r="E16" s="300" t="str">
        <f>IF(C16="","",IF(C16=Engine!$B$27,"N/A",IF(C16=Engine!$B$24,1,IF(C16=Engine!$B$25,0.5,0))))</f>
        <v/>
      </c>
      <c r="F16" s="304"/>
      <c r="G16" s="304"/>
      <c r="H16" s="304"/>
      <c r="I16" s="304"/>
      <c r="J16" s="304"/>
      <c r="K16" s="304"/>
      <c r="L16" s="304"/>
      <c r="M16" s="304"/>
      <c r="N16" s="304"/>
      <c r="O16" s="304"/>
      <c r="P16" s="304"/>
      <c r="Q16" s="304"/>
      <c r="R16" s="571"/>
    </row>
    <row r="17" spans="1:18" ht="80" customHeight="1" thickBot="1" x14ac:dyDescent="0.55000000000000004">
      <c r="A17" s="628">
        <v>14</v>
      </c>
      <c r="B17" s="629" t="s">
        <v>13</v>
      </c>
      <c r="C17" s="324"/>
      <c r="D17" s="302">
        <v>1</v>
      </c>
      <c r="E17" s="300" t="str">
        <f>IF(C17="","",IF(C17=Engine!$B$27,"N/A",IF(C17=Engine!$B$24,1,IF(C17=Engine!$B$25,0.5,0))))</f>
        <v/>
      </c>
      <c r="F17" s="304"/>
      <c r="G17" s="304"/>
      <c r="H17" s="304"/>
      <c r="I17" s="304"/>
      <c r="J17" s="304"/>
      <c r="K17" s="304"/>
      <c r="L17" s="304"/>
      <c r="M17" s="304"/>
      <c r="N17" s="304"/>
      <c r="O17" s="304"/>
      <c r="P17" s="304"/>
      <c r="Q17" s="304"/>
      <c r="R17" s="571"/>
    </row>
    <row r="18" spans="1:18" ht="79.5" customHeight="1" thickBot="1" x14ac:dyDescent="0.55000000000000004">
      <c r="A18" s="628">
        <v>15</v>
      </c>
      <c r="B18" s="629" t="s">
        <v>14</v>
      </c>
      <c r="C18" s="324"/>
      <c r="D18" s="302">
        <v>1</v>
      </c>
      <c r="E18" s="301" t="str">
        <f>IF(C18="","",IF(C18=Engine!$B$27,"N/A",IF(C18=Engine!$B$24,1,IF(C18=Engine!$B$25,0.5,0))))</f>
        <v/>
      </c>
      <c r="F18" s="304"/>
      <c r="G18" s="304"/>
      <c r="H18" s="304"/>
      <c r="I18" s="304"/>
      <c r="J18" s="304"/>
      <c r="K18" s="304"/>
      <c r="L18" s="304"/>
      <c r="M18" s="304"/>
      <c r="N18" s="304"/>
      <c r="O18" s="304"/>
      <c r="P18" s="304"/>
      <c r="Q18" s="304"/>
      <c r="R18" s="571"/>
    </row>
    <row r="19" spans="1:18" customFormat="1" ht="21" x14ac:dyDescent="0.5">
      <c r="A19" s="569"/>
      <c r="B19" s="304"/>
      <c r="C19" s="304"/>
      <c r="D19" s="304"/>
      <c r="E19" s="304"/>
      <c r="F19" s="304"/>
      <c r="G19" s="304"/>
      <c r="H19" s="304"/>
      <c r="I19" s="304"/>
      <c r="J19" s="304"/>
      <c r="K19" s="304"/>
      <c r="L19" s="304"/>
      <c r="M19" s="304"/>
      <c r="N19" s="304"/>
      <c r="O19" s="304"/>
      <c r="P19" s="304"/>
      <c r="Q19" s="304"/>
      <c r="R19" s="571"/>
    </row>
    <row r="20" spans="1:18" ht="17" customHeight="1" thickBot="1" x14ac:dyDescent="0.55000000000000004">
      <c r="A20" s="578"/>
      <c r="B20" s="633"/>
      <c r="C20" s="634"/>
      <c r="D20" s="633"/>
      <c r="E20" s="633"/>
      <c r="F20" s="633"/>
      <c r="G20" s="633"/>
      <c r="H20" s="633"/>
      <c r="I20" s="633"/>
      <c r="J20" s="633"/>
      <c r="K20" s="633"/>
      <c r="L20" s="633"/>
      <c r="M20" s="633"/>
      <c r="N20" s="633"/>
      <c r="O20" s="633"/>
      <c r="P20" s="633"/>
      <c r="Q20" s="633"/>
      <c r="R20" s="580"/>
    </row>
  </sheetData>
  <sheetProtection algorithmName="SHA-512" hashValue="RfaWKLLnJnBDDkIaX1bjQ7d53yWD0PKMS6uHkNSzi512PdTfUsVHs+JCfsz/23dLKO9vVr1IzMISPeGFBAy1MA==" saltValue="pAZg+9I0EITHu9WHCHbHZw==" spinCount="100000" sheet="1" objects="1" scenarios="1" selectLockedCells="1"/>
  <mergeCells count="8">
    <mergeCell ref="A1:R1"/>
    <mergeCell ref="J8:L8"/>
    <mergeCell ref="O6:P6"/>
    <mergeCell ref="J4:M4"/>
    <mergeCell ref="O4:P4"/>
    <mergeCell ref="G4:I4"/>
    <mergeCell ref="O5:P5"/>
    <mergeCell ref="A3:B3"/>
  </mergeCells>
  <conditionalFormatting sqref="C4:C18">
    <cfRule type="containsText" dxfId="25" priority="3" operator="containsText" text="In parte">
      <formula>NOT(ISERROR(SEARCH("In parte",C4)))</formula>
    </cfRule>
  </conditionalFormatting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6" operator="containsText" id="{F953CFFE-4455-4D31-A000-9FCA9B582816}">
            <xm:f>NOT(ISERROR(SEARCH(Engine!$B$24,C4)))</xm:f>
            <xm:f>Engine!$B$24</xm:f>
            <x14:dxf>
              <font>
                <color theme="9" tint="-0.499984740745262"/>
              </font>
              <fill>
                <patternFill>
                  <bgColor theme="9" tint="0.59996337778862885"/>
                </patternFill>
              </fill>
            </x14:dxf>
          </x14:cfRule>
          <x14:cfRule type="containsText" priority="17" operator="containsText" id="{8A74E6F7-B39C-4955-8E05-A77D939B668A}">
            <xm:f>NOT(ISERROR(SEARCH(Engine!$B$26,C4)))</xm:f>
            <xm:f>Engine!$B$26</xm:f>
            <x14:dxf>
              <font>
                <color rgb="FFC00000"/>
              </font>
              <fill>
                <patternFill>
                  <bgColor rgb="FFF89C9C"/>
                </patternFill>
              </fill>
            </x14:dxf>
          </x14:cfRule>
          <xm:sqref>C4:C18</xm:sqref>
        </x14:conditionalFormatting>
        <x14:conditionalFormatting xmlns:xm="http://schemas.microsoft.com/office/excel/2006/main">
          <x14:cfRule type="expression" priority="1" id="{2F248620-D331-45C1-A8DF-DD921D19074D}">
            <xm:f>Cover!D6=Engine!L23</xm:f>
            <x14:dxf>
              <fill>
                <patternFill>
                  <bgColor rgb="FFFF6969"/>
                </patternFill>
              </fill>
            </x14:dxf>
          </x14:cfRule>
          <x14:cfRule type="expression" priority="2" id="{95BBA9B5-6694-4933-BF4D-4E1EE7ADAA59}">
            <xm:f>Cover!D6=0</xm:f>
            <x14:dxf>
              <fill>
                <patternFill>
                  <bgColor rgb="FFFF6969"/>
                </patternFill>
              </fill>
            </x14:dxf>
          </x14:cfRule>
          <xm:sqref>J4:M4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4E603146-C8C0-4466-A232-9815162FD2B8}">
          <x14:formula1>
            <xm:f>Engine!$B$24:$B$27</xm:f>
          </x14:formula1>
          <xm:sqref>C4:C18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12E492-C6E3-48AB-BB97-9ED791F10250}">
  <sheetPr codeName="Foglio4"/>
  <dimension ref="A1:AA20"/>
  <sheetViews>
    <sheetView showGridLines="0" zoomScale="60" zoomScaleNormal="60" workbookViewId="0">
      <selection sqref="A1:XFD2"/>
    </sheetView>
  </sheetViews>
  <sheetFormatPr defaultColWidth="0" defaultRowHeight="14.5" zeroHeight="1" x14ac:dyDescent="0.35"/>
  <cols>
    <col min="1" max="1" width="2.81640625" style="1" bestFit="1" customWidth="1"/>
    <col min="2" max="2" width="47.6328125" style="10" customWidth="1"/>
    <col min="3" max="17" width="18.6328125" style="1" customWidth="1"/>
    <col min="18" max="18" width="3.81640625" style="1" customWidth="1"/>
    <col min="19" max="21" width="8.81640625" style="1" hidden="1" customWidth="1"/>
    <col min="22" max="22" width="16.54296875" style="1" hidden="1" customWidth="1"/>
    <col min="23" max="23" width="8.81640625" style="1" hidden="1" customWidth="1"/>
    <col min="24" max="26" width="13.81640625" style="1" hidden="1" customWidth="1"/>
    <col min="27" max="27" width="13.36328125" style="1" hidden="1" customWidth="1"/>
    <col min="28" max="16384" width="8.81640625" style="1" hidden="1"/>
  </cols>
  <sheetData>
    <row r="1" spans="1:17" ht="58.5" thickBot="1" x14ac:dyDescent="0.4">
      <c r="A1" s="711" t="s">
        <v>28</v>
      </c>
      <c r="B1" s="712"/>
      <c r="C1" s="27" t="s">
        <v>15</v>
      </c>
      <c r="D1" s="41" t="s">
        <v>336</v>
      </c>
      <c r="E1" s="28" t="s">
        <v>16</v>
      </c>
      <c r="F1" s="29" t="s">
        <v>17</v>
      </c>
      <c r="G1" s="30" t="s">
        <v>18</v>
      </c>
      <c r="H1" s="31" t="s">
        <v>19</v>
      </c>
      <c r="I1" s="32" t="s">
        <v>20</v>
      </c>
      <c r="J1" s="33" t="s">
        <v>21</v>
      </c>
      <c r="K1" s="34" t="s">
        <v>22</v>
      </c>
      <c r="L1" s="35" t="s">
        <v>23</v>
      </c>
      <c r="M1" s="37" t="s">
        <v>337</v>
      </c>
      <c r="N1" s="36" t="s">
        <v>24</v>
      </c>
      <c r="O1" s="38" t="s">
        <v>25</v>
      </c>
      <c r="P1" s="39" t="s">
        <v>26</v>
      </c>
      <c r="Q1" s="40" t="s">
        <v>27</v>
      </c>
    </row>
    <row r="2" spans="1:17" ht="50" customHeight="1" x14ac:dyDescent="0.35">
      <c r="A2" s="4">
        <v>1</v>
      </c>
      <c r="B2" s="43" t="s">
        <v>0</v>
      </c>
      <c r="C2" s="290"/>
      <c r="D2" s="291"/>
      <c r="E2" s="291"/>
      <c r="F2" s="291"/>
      <c r="G2" s="291"/>
      <c r="H2" s="291"/>
      <c r="I2" s="291" t="s">
        <v>50</v>
      </c>
      <c r="J2" s="291" t="s">
        <v>50</v>
      </c>
      <c r="K2" s="291" t="s">
        <v>50</v>
      </c>
      <c r="L2" s="291"/>
      <c r="M2" s="291" t="s">
        <v>50</v>
      </c>
      <c r="N2" s="291" t="s">
        <v>50</v>
      </c>
      <c r="O2" s="291"/>
      <c r="P2" s="291"/>
      <c r="Q2" s="292"/>
    </row>
    <row r="3" spans="1:17" ht="54.5" customHeight="1" x14ac:dyDescent="0.35">
      <c r="A3" s="5">
        <v>2</v>
      </c>
      <c r="B3" s="44" t="s">
        <v>1</v>
      </c>
      <c r="C3" s="293" t="s">
        <v>50</v>
      </c>
      <c r="D3" s="294" t="s">
        <v>50</v>
      </c>
      <c r="E3" s="294" t="s">
        <v>50</v>
      </c>
      <c r="F3" s="294" t="s">
        <v>50</v>
      </c>
      <c r="G3" s="294" t="s">
        <v>50</v>
      </c>
      <c r="H3" s="294" t="s">
        <v>50</v>
      </c>
      <c r="I3" s="294"/>
      <c r="J3" s="294"/>
      <c r="K3" s="294"/>
      <c r="L3" s="294" t="s">
        <v>50</v>
      </c>
      <c r="M3" s="294"/>
      <c r="N3" s="294"/>
      <c r="O3" s="294" t="s">
        <v>50</v>
      </c>
      <c r="P3" s="294" t="s">
        <v>50</v>
      </c>
      <c r="Q3" s="295" t="s">
        <v>50</v>
      </c>
    </row>
    <row r="4" spans="1:17" ht="42.5" customHeight="1" x14ac:dyDescent="0.35">
      <c r="A4" s="5">
        <v>3</v>
      </c>
      <c r="B4" s="44" t="s">
        <v>2</v>
      </c>
      <c r="C4" s="293"/>
      <c r="D4" s="294"/>
      <c r="E4" s="294"/>
      <c r="F4" s="294"/>
      <c r="G4" s="294"/>
      <c r="H4" s="294"/>
      <c r="I4" s="294" t="s">
        <v>50</v>
      </c>
      <c r="J4" s="294" t="s">
        <v>50</v>
      </c>
      <c r="K4" s="294" t="s">
        <v>50</v>
      </c>
      <c r="L4" s="294"/>
      <c r="M4" s="294" t="s">
        <v>50</v>
      </c>
      <c r="N4" s="294" t="s">
        <v>50</v>
      </c>
      <c r="O4" s="294"/>
      <c r="P4" s="294"/>
      <c r="Q4" s="295"/>
    </row>
    <row r="5" spans="1:17" ht="52" customHeight="1" x14ac:dyDescent="0.35">
      <c r="A5" s="5">
        <v>4</v>
      </c>
      <c r="B5" s="44" t="s">
        <v>3</v>
      </c>
      <c r="C5" s="293"/>
      <c r="D5" s="294"/>
      <c r="E5" s="294"/>
      <c r="F5" s="294"/>
      <c r="G5" s="294"/>
      <c r="H5" s="294"/>
      <c r="I5" s="294"/>
      <c r="J5" s="294" t="s">
        <v>50</v>
      </c>
      <c r="K5" s="294" t="s">
        <v>50</v>
      </c>
      <c r="L5" s="294"/>
      <c r="M5" s="294" t="s">
        <v>50</v>
      </c>
      <c r="N5" s="294" t="s">
        <v>50</v>
      </c>
      <c r="O5" s="294"/>
      <c r="P5" s="294"/>
      <c r="Q5" s="295"/>
    </row>
    <row r="6" spans="1:17" ht="53.5" customHeight="1" x14ac:dyDescent="0.35">
      <c r="A6" s="5">
        <v>5</v>
      </c>
      <c r="B6" s="44" t="s">
        <v>4</v>
      </c>
      <c r="C6" s="293" t="s">
        <v>50</v>
      </c>
      <c r="D6" s="294" t="s">
        <v>50</v>
      </c>
      <c r="E6" s="294" t="s">
        <v>50</v>
      </c>
      <c r="F6" s="294" t="s">
        <v>50</v>
      </c>
      <c r="G6" s="294" t="s">
        <v>50</v>
      </c>
      <c r="H6" s="294" t="s">
        <v>50</v>
      </c>
      <c r="I6" s="294" t="s">
        <v>50</v>
      </c>
      <c r="J6" s="294" t="s">
        <v>50</v>
      </c>
      <c r="K6" s="294" t="s">
        <v>50</v>
      </c>
      <c r="L6" s="294" t="s">
        <v>50</v>
      </c>
      <c r="M6" s="294" t="s">
        <v>50</v>
      </c>
      <c r="N6" s="294" t="s">
        <v>50</v>
      </c>
      <c r="O6" s="294" t="s">
        <v>50</v>
      </c>
      <c r="P6" s="294" t="s">
        <v>50</v>
      </c>
      <c r="Q6" s="295" t="s">
        <v>50</v>
      </c>
    </row>
    <row r="7" spans="1:17" ht="51" customHeight="1" x14ac:dyDescent="0.35">
      <c r="A7" s="5">
        <v>6</v>
      </c>
      <c r="B7" s="44" t="s">
        <v>5</v>
      </c>
      <c r="C7" s="293" t="s">
        <v>50</v>
      </c>
      <c r="D7" s="294" t="s">
        <v>50</v>
      </c>
      <c r="E7" s="294" t="s">
        <v>50</v>
      </c>
      <c r="F7" s="294" t="s">
        <v>50</v>
      </c>
      <c r="G7" s="294" t="s">
        <v>50</v>
      </c>
      <c r="H7" s="294"/>
      <c r="I7" s="294"/>
      <c r="J7" s="294"/>
      <c r="K7" s="294"/>
      <c r="L7" s="294" t="s">
        <v>50</v>
      </c>
      <c r="M7" s="294"/>
      <c r="N7" s="294"/>
      <c r="O7" s="294" t="s">
        <v>50</v>
      </c>
      <c r="P7" s="294" t="s">
        <v>50</v>
      </c>
      <c r="Q7" s="295" t="s">
        <v>50</v>
      </c>
    </row>
    <row r="8" spans="1:17" ht="65.5" customHeight="1" x14ac:dyDescent="0.35">
      <c r="A8" s="5">
        <v>7</v>
      </c>
      <c r="B8" s="44" t="s">
        <v>6</v>
      </c>
      <c r="C8" s="293"/>
      <c r="D8" s="294"/>
      <c r="E8" s="294"/>
      <c r="F8" s="294"/>
      <c r="G8" s="294"/>
      <c r="H8" s="294"/>
      <c r="I8" s="294" t="s">
        <v>50</v>
      </c>
      <c r="J8" s="294" t="s">
        <v>50</v>
      </c>
      <c r="K8" s="294" t="s">
        <v>50</v>
      </c>
      <c r="L8" s="294"/>
      <c r="M8" s="294" t="s">
        <v>50</v>
      </c>
      <c r="N8" s="294" t="s">
        <v>50</v>
      </c>
      <c r="O8" s="294"/>
      <c r="P8" s="294" t="s">
        <v>50</v>
      </c>
      <c r="Q8" s="295"/>
    </row>
    <row r="9" spans="1:17" ht="80" customHeight="1" x14ac:dyDescent="0.35">
      <c r="A9" s="5">
        <v>8</v>
      </c>
      <c r="B9" s="44" t="s">
        <v>7</v>
      </c>
      <c r="C9" s="293"/>
      <c r="D9" s="294"/>
      <c r="E9" s="294"/>
      <c r="F9" s="294"/>
      <c r="G9" s="294"/>
      <c r="H9" s="294"/>
      <c r="I9" s="294" t="s">
        <v>50</v>
      </c>
      <c r="J9" s="294" t="s">
        <v>50</v>
      </c>
      <c r="K9" s="294" t="s">
        <v>50</v>
      </c>
      <c r="L9" s="294"/>
      <c r="M9" s="294" t="s">
        <v>50</v>
      </c>
      <c r="N9" s="294" t="s">
        <v>50</v>
      </c>
      <c r="O9" s="294"/>
      <c r="P9" s="294"/>
      <c r="Q9" s="295"/>
    </row>
    <row r="10" spans="1:17" ht="49" customHeight="1" x14ac:dyDescent="0.35">
      <c r="A10" s="5">
        <v>9</v>
      </c>
      <c r="B10" s="44" t="s">
        <v>8</v>
      </c>
      <c r="C10" s="293"/>
      <c r="D10" s="294"/>
      <c r="E10" s="294"/>
      <c r="F10" s="294"/>
      <c r="G10" s="294"/>
      <c r="H10" s="294"/>
      <c r="I10" s="294" t="s">
        <v>50</v>
      </c>
      <c r="J10" s="294" t="s">
        <v>50</v>
      </c>
      <c r="K10" s="294" t="s">
        <v>50</v>
      </c>
      <c r="L10" s="294"/>
      <c r="M10" s="294" t="s">
        <v>50</v>
      </c>
      <c r="N10" s="294" t="s">
        <v>50</v>
      </c>
      <c r="O10" s="294"/>
      <c r="P10" s="294"/>
      <c r="Q10" s="295"/>
    </row>
    <row r="11" spans="1:17" ht="122" customHeight="1" x14ac:dyDescent="0.35">
      <c r="A11" s="5">
        <v>10</v>
      </c>
      <c r="B11" s="44" t="s">
        <v>9</v>
      </c>
      <c r="C11" s="293" t="s">
        <v>50</v>
      </c>
      <c r="D11" s="294" t="s">
        <v>50</v>
      </c>
      <c r="E11" s="294" t="s">
        <v>50</v>
      </c>
      <c r="F11" s="294" t="s">
        <v>50</v>
      </c>
      <c r="G11" s="294" t="s">
        <v>50</v>
      </c>
      <c r="H11" s="294"/>
      <c r="I11" s="294" t="s">
        <v>50</v>
      </c>
      <c r="J11" s="294" t="s">
        <v>50</v>
      </c>
      <c r="K11" s="294" t="s">
        <v>50</v>
      </c>
      <c r="L11" s="294"/>
      <c r="M11" s="294" t="s">
        <v>50</v>
      </c>
      <c r="N11" s="294" t="s">
        <v>50</v>
      </c>
      <c r="O11" s="294" t="s">
        <v>50</v>
      </c>
      <c r="P11" s="294" t="s">
        <v>50</v>
      </c>
      <c r="Q11" s="295"/>
    </row>
    <row r="12" spans="1:17" ht="70.5" customHeight="1" x14ac:dyDescent="0.35">
      <c r="A12" s="5">
        <v>11</v>
      </c>
      <c r="B12" s="44" t="s">
        <v>10</v>
      </c>
      <c r="C12" s="293" t="s">
        <v>50</v>
      </c>
      <c r="D12" s="294" t="s">
        <v>50</v>
      </c>
      <c r="E12" s="294"/>
      <c r="F12" s="294" t="s">
        <v>50</v>
      </c>
      <c r="G12" s="294"/>
      <c r="H12" s="294"/>
      <c r="I12" s="294" t="s">
        <v>50</v>
      </c>
      <c r="J12" s="294" t="s">
        <v>50</v>
      </c>
      <c r="K12" s="294" t="s">
        <v>50</v>
      </c>
      <c r="L12" s="294" t="s">
        <v>50</v>
      </c>
      <c r="M12" s="294" t="s">
        <v>50</v>
      </c>
      <c r="N12" s="294" t="s">
        <v>50</v>
      </c>
      <c r="O12" s="294" t="s">
        <v>50</v>
      </c>
      <c r="P12" s="294" t="s">
        <v>50</v>
      </c>
      <c r="Q12" s="295" t="s">
        <v>50</v>
      </c>
    </row>
    <row r="13" spans="1:17" ht="65.5" customHeight="1" x14ac:dyDescent="0.35">
      <c r="A13" s="5">
        <v>12</v>
      </c>
      <c r="B13" s="44" t="s">
        <v>11</v>
      </c>
      <c r="C13" s="293" t="s">
        <v>50</v>
      </c>
      <c r="D13" s="294"/>
      <c r="E13" s="294"/>
      <c r="F13" s="294"/>
      <c r="G13" s="294"/>
      <c r="H13" s="294" t="s">
        <v>50</v>
      </c>
      <c r="I13" s="294"/>
      <c r="J13" s="294"/>
      <c r="K13" s="294" t="s">
        <v>50</v>
      </c>
      <c r="L13" s="294" t="s">
        <v>50</v>
      </c>
      <c r="M13" s="294" t="s">
        <v>50</v>
      </c>
      <c r="N13" s="294"/>
      <c r="O13" s="294" t="s">
        <v>50</v>
      </c>
      <c r="P13" s="294"/>
      <c r="Q13" s="295"/>
    </row>
    <row r="14" spans="1:17" ht="53.5" customHeight="1" x14ac:dyDescent="0.35">
      <c r="A14" s="5">
        <v>13</v>
      </c>
      <c r="B14" s="44" t="s">
        <v>12</v>
      </c>
      <c r="C14" s="293"/>
      <c r="D14" s="294"/>
      <c r="E14" s="294"/>
      <c r="F14" s="294"/>
      <c r="G14" s="294" t="s">
        <v>50</v>
      </c>
      <c r="H14" s="294" t="s">
        <v>50</v>
      </c>
      <c r="I14" s="294" t="s">
        <v>50</v>
      </c>
      <c r="J14" s="294" t="s">
        <v>50</v>
      </c>
      <c r="K14" s="294" t="s">
        <v>50</v>
      </c>
      <c r="L14" s="294" t="s">
        <v>50</v>
      </c>
      <c r="M14" s="294" t="s">
        <v>50</v>
      </c>
      <c r="N14" s="294"/>
      <c r="O14" s="294"/>
      <c r="P14" s="294" t="s">
        <v>50</v>
      </c>
      <c r="Q14" s="295" t="s">
        <v>50</v>
      </c>
    </row>
    <row r="15" spans="1:17" ht="64" customHeight="1" x14ac:dyDescent="0.35">
      <c r="A15" s="5">
        <v>14</v>
      </c>
      <c r="B15" s="44" t="s">
        <v>13</v>
      </c>
      <c r="C15" s="293"/>
      <c r="D15" s="294"/>
      <c r="E15" s="294"/>
      <c r="F15" s="294"/>
      <c r="G15" s="294"/>
      <c r="H15" s="294"/>
      <c r="I15" s="294" t="s">
        <v>50</v>
      </c>
      <c r="J15" s="294"/>
      <c r="K15" s="294"/>
      <c r="L15" s="294"/>
      <c r="M15" s="294"/>
      <c r="N15" s="294" t="s">
        <v>50</v>
      </c>
      <c r="O15" s="294"/>
      <c r="P15" s="294"/>
      <c r="Q15" s="295"/>
    </row>
    <row r="16" spans="1:17" ht="72.5" customHeight="1" thickBot="1" x14ac:dyDescent="0.4">
      <c r="A16" s="6">
        <v>15</v>
      </c>
      <c r="B16" s="45" t="s">
        <v>14</v>
      </c>
      <c r="C16" s="296" t="s">
        <v>50</v>
      </c>
      <c r="D16" s="297" t="s">
        <v>50</v>
      </c>
      <c r="E16" s="297"/>
      <c r="F16" s="297" t="s">
        <v>50</v>
      </c>
      <c r="G16" s="297"/>
      <c r="H16" s="297" t="s">
        <v>50</v>
      </c>
      <c r="I16" s="297"/>
      <c r="J16" s="297"/>
      <c r="K16" s="297"/>
      <c r="L16" s="297" t="s">
        <v>50</v>
      </c>
      <c r="M16" s="297"/>
      <c r="N16" s="297"/>
      <c r="O16" s="297" t="s">
        <v>50</v>
      </c>
      <c r="P16" s="297"/>
      <c r="Q16" s="298"/>
    </row>
    <row r="17" spans="1:17" ht="24.5" customHeight="1" thickBot="1" x14ac:dyDescent="0.4">
      <c r="A17" s="124"/>
      <c r="B17" s="125"/>
      <c r="C17" s="187">
        <f>COUNTA(C2:C16)</f>
        <v>7</v>
      </c>
      <c r="D17" s="188">
        <f t="shared" ref="D17:Q17" si="0">COUNTA(D2:D16)</f>
        <v>6</v>
      </c>
      <c r="E17" s="188">
        <f t="shared" si="0"/>
        <v>4</v>
      </c>
      <c r="F17" s="188">
        <f t="shared" si="0"/>
        <v>6</v>
      </c>
      <c r="G17" s="188">
        <f t="shared" si="0"/>
        <v>5</v>
      </c>
      <c r="H17" s="188">
        <f t="shared" si="0"/>
        <v>5</v>
      </c>
      <c r="I17" s="188">
        <f t="shared" si="0"/>
        <v>10</v>
      </c>
      <c r="J17" s="188">
        <f t="shared" si="0"/>
        <v>10</v>
      </c>
      <c r="K17" s="188">
        <f t="shared" si="0"/>
        <v>11</v>
      </c>
      <c r="L17" s="188">
        <f t="shared" si="0"/>
        <v>7</v>
      </c>
      <c r="M17" s="188">
        <f t="shared" si="0"/>
        <v>11</v>
      </c>
      <c r="N17" s="188">
        <f t="shared" si="0"/>
        <v>10</v>
      </c>
      <c r="O17" s="188">
        <f t="shared" si="0"/>
        <v>7</v>
      </c>
      <c r="P17" s="188">
        <f t="shared" si="0"/>
        <v>7</v>
      </c>
      <c r="Q17" s="189">
        <f t="shared" si="0"/>
        <v>5</v>
      </c>
    </row>
    <row r="18" spans="1:17" x14ac:dyDescent="0.35"/>
    <row r="19" spans="1:17" x14ac:dyDescent="0.35"/>
    <row r="20" spans="1:17" x14ac:dyDescent="0.35"/>
  </sheetData>
  <sheetProtection selectLockedCells="1"/>
  <mergeCells count="1">
    <mergeCell ref="A1:B1"/>
  </mergeCells>
  <conditionalFormatting sqref="C2:Q16">
    <cfRule type="containsBlanks" dxfId="20" priority="5">
      <formula>LEN(TRIM(C2))=0</formula>
    </cfRule>
    <cfRule type="containsBlanks" dxfId="19" priority="8">
      <formula>LEN(TRIM(C2))=0</formula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5" operator="containsText" id="{489B1345-91D1-47F8-9A9B-A425D3BA077E}">
            <xm:f>NOT(ISERROR(SEARCH(Engine!$G$48,C2)))</xm:f>
            <xm:f>Engine!$G$48</xm:f>
            <x14:dxf>
              <fill>
                <patternFill>
                  <bgColor theme="7" tint="0.59996337778862885"/>
                </patternFill>
              </fill>
            </x14:dxf>
          </x14:cfRule>
          <x14:cfRule type="containsText" priority="16" operator="containsText" id="{738C504F-99BF-4128-A834-A0322EBB3B7A}">
            <xm:f>NOT(ISERROR(SEARCH(Engine!$H$48,C2)))</xm:f>
            <xm:f>Engine!$H$48</xm:f>
            <x14:dxf>
              <fill>
                <patternFill>
                  <bgColor theme="5" tint="0.59996337778862885"/>
                </patternFill>
              </fill>
            </x14:dxf>
          </x14:cfRule>
          <x14:cfRule type="containsText" priority="17" operator="containsText" id="{64716850-D05B-427E-8B20-6D4A55B295F8}">
            <xm:f>NOT(ISERROR(SEARCH(Engine!$J$48,C2)))</xm:f>
            <xm:f>Engine!$J$48</xm:f>
            <x14:dxf>
              <fill>
                <patternFill>
                  <bgColor rgb="FFFF9797"/>
                </patternFill>
              </fill>
            </x14:dxf>
          </x14:cfRule>
          <x14:cfRule type="containsText" priority="18" operator="containsText" id="{66E8AC5B-83FF-43B8-82BA-FEAB59F9F93F}">
            <xm:f>NOT(ISERROR(SEARCH(Engine!$F$48,C2)))</xm:f>
            <xm:f>Engine!$F$48</xm:f>
            <x14:dxf>
              <font>
                <color theme="0" tint="-4.9989318521683403E-2"/>
              </font>
              <fill>
                <patternFill patternType="solid">
                  <bgColor theme="0" tint="-4.9989318521683403E-2"/>
                </patternFill>
              </fill>
            </x14:dxf>
          </x14:cfRule>
          <xm:sqref>C2:Q16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1ACAD26D-E688-42DF-A728-CFFD612A4A03}">
          <x14:formula1>
            <xm:f>Engine!$D$48:$D$51</xm:f>
          </x14:formula1>
          <xm:sqref>C2:Q16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9E15F0-E924-4271-A895-8F27423249ED}">
  <sheetPr codeName="Foglio5">
    <tabColor rgb="FF00B0F0"/>
  </sheetPr>
  <dimension ref="A1:AT50"/>
  <sheetViews>
    <sheetView showGridLines="0" topLeftCell="B1" zoomScale="60" zoomScaleNormal="60" workbookViewId="0">
      <selection activeCell="B1" sqref="A1:XFD1048576"/>
    </sheetView>
  </sheetViews>
  <sheetFormatPr defaultColWidth="0" defaultRowHeight="15.5" zeroHeight="1" outlineLevelCol="1" x14ac:dyDescent="0.35"/>
  <cols>
    <col min="1" max="1" width="3" style="11" hidden="1" customWidth="1" outlineLevel="1"/>
    <col min="2" max="2" width="90.36328125" style="11" customWidth="1" collapsed="1"/>
    <col min="3" max="3" width="9.453125" style="23" bestFit="1" customWidth="1"/>
    <col min="4" max="4" width="9.54296875" style="46" hidden="1" customWidth="1" outlineLevel="1"/>
    <col min="5" max="5" width="9" style="20" hidden="1" customWidth="1" outlineLevel="1"/>
    <col min="6" max="6" width="8" style="20" customWidth="1" collapsed="1"/>
    <col min="7" max="33" width="8.81640625" style="20" customWidth="1"/>
    <col min="34" max="34" width="7" style="20" customWidth="1"/>
    <col min="35" max="35" width="6" style="20" customWidth="1"/>
    <col min="36" max="36" width="7.90625" style="20" customWidth="1"/>
    <col min="37" max="37" width="5.90625" style="20" customWidth="1"/>
    <col min="38" max="38" width="8.81640625" style="20" customWidth="1"/>
    <col min="39" max="39" width="5.81640625" style="20" customWidth="1"/>
    <col min="40" max="40" width="9.54296875" style="20" customWidth="1"/>
    <col min="41" max="43" width="8.81640625" style="20" customWidth="1"/>
    <col min="44" max="44" width="4.81640625" style="20" customWidth="1"/>
    <col min="45" max="45" width="8.81640625" style="20" customWidth="1"/>
    <col min="46" max="46" width="0" style="20" hidden="1" customWidth="1"/>
    <col min="47" max="16384" width="8.81640625" style="20" hidden="1"/>
  </cols>
  <sheetData>
    <row r="1" spans="1:46" ht="32.5" customHeight="1" thickBot="1" x14ac:dyDescent="0.4">
      <c r="A1" s="713" t="s">
        <v>32</v>
      </c>
      <c r="B1" s="714"/>
      <c r="C1" s="714"/>
      <c r="D1" s="714"/>
      <c r="E1" s="714"/>
      <c r="F1" s="714"/>
      <c r="G1" s="714"/>
      <c r="H1" s="714"/>
      <c r="I1" s="714"/>
      <c r="J1" s="714"/>
      <c r="K1" s="714"/>
      <c r="L1" s="714"/>
      <c r="M1" s="714"/>
      <c r="N1" s="714"/>
      <c r="O1" s="714"/>
      <c r="P1" s="714"/>
      <c r="Q1" s="714"/>
      <c r="R1" s="715"/>
    </row>
    <row r="2" spans="1:46" ht="19" thickBot="1" x14ac:dyDescent="0.4">
      <c r="A2" s="83"/>
      <c r="B2" s="199"/>
      <c r="C2" s="198"/>
      <c r="D2" s="198"/>
      <c r="Q2" s="238"/>
      <c r="R2" s="84"/>
      <c r="AD2"/>
      <c r="AE2"/>
      <c r="AF2"/>
      <c r="AG2"/>
      <c r="AH2"/>
      <c r="AI2"/>
      <c r="AJ2"/>
      <c r="AK2"/>
      <c r="AL2"/>
      <c r="AM2" s="716"/>
      <c r="AN2" s="716"/>
      <c r="AO2" s="716"/>
      <c r="AP2"/>
      <c r="AQ2"/>
      <c r="AR2"/>
      <c r="AS2"/>
    </row>
    <row r="3" spans="1:46" ht="42.5" customHeight="1" thickBot="1" x14ac:dyDescent="0.4">
      <c r="A3" s="77">
        <f>IF(OR('Tabella Pesi'!C2=Engine!$G$48,'Tabella Pesi'!C2=Engine!$H$48,'Tabella Pesi'!C2=Engine!$J$48),1,0)</f>
        <v>0</v>
      </c>
      <c r="B3" s="12" t="str" cm="1">
        <f t="array" ref="B3">IFERROR(INDEX('Tabella Pesi'!$B$2:$B$16, SMALL(IF(1=$A$3:$A$17, ROW('Tabella Pesi'!$B$2:$B$16)-1,""), ROW()-2)),"")</f>
        <v>I servizi web (social network, cloud computing, posta elettronica, spazio web, ecc.) offerti da terze parti a cui si è registrati sono quelli strettamente necessari.</v>
      </c>
      <c r="C3" s="13">
        <f>IF(B3="","",_xlfn.XLOOKUP(B3,'Val. Maturità'!$B$4:$B$18,'Val. Maturità'!$C$4:$C$18))</f>
        <v>0</v>
      </c>
      <c r="D3" s="80" cm="1">
        <f t="array" ref="D3">IF(B3="","",IF(INDEX('Tabella Pesi'!$A$1:$Q$16,_xlfn.XMATCH(B3,'Tabella Pesi'!$B$1:$B$16),COLUMN('Tabella Pesi'!$C$1))=Engine!G$48,Engine!G$49,IF(INDEX('Tabella Pesi'!$A$1:$Q$16,_xlfn.XMATCH(B3,'Tabella Pesi'!$B$1:$B$16),COLUMN('Tabella Pesi'!$C$1))=Engine!H$48,Engine!H$49,Engine!$J$49)))</f>
        <v>1</v>
      </c>
      <c r="E3" s="179">
        <f>IF(C3="","",IF(C3=Engine!$B$27,"N/A",IF(C3=Engine!$B$24,1,IF(C3=Engine!$B$25,0.5,0))))</f>
        <v>0</v>
      </c>
      <c r="F3" s="717" cm="1">
        <f t="array" ref="F3">(SUMPRODUCT(--(E3:E17&lt;&gt;"N/A"),E3:E17,D3:D17)/SUMIF(E3:E17,"&lt;&gt;N/A",D3:D17))*10</f>
        <v>0</v>
      </c>
      <c r="I3" s="723" t="s">
        <v>296</v>
      </c>
      <c r="J3" s="724"/>
      <c r="K3" s="724"/>
      <c r="L3" s="725"/>
      <c r="M3" s="115" t="e">
        <f>Engine!$H$58+((Engine!$D$57-Engine!$H$58)/(1+Engine!$D$58*EXP(-Engine!$H$57*(F3-Engine!$F$57)))^(1/Engine!$F$58))</f>
        <v>#VALUE!</v>
      </c>
      <c r="N3"/>
      <c r="O3"/>
      <c r="P3"/>
      <c r="R3" s="84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</row>
    <row r="4" spans="1:46" ht="47" thickBot="1" x14ac:dyDescent="0.4">
      <c r="A4" s="78">
        <f>IF(OR('Tabella Pesi'!C3=Engine!$G$48,'Tabella Pesi'!C3=Engine!$H$48,'Tabella Pesi'!C3=Engine!$J$48),1,0)</f>
        <v>1</v>
      </c>
      <c r="B4" s="14" t="str" cm="1">
        <f t="array" ref="B4">IFERROR(INDEX('Tabella Pesi'!$B$2:$B$16, SMALL(IF(1=$A$3:$A$17, ROW('Tabella Pesi'!$B$2:$B$16)-1,""), ROW()-2)),"")</f>
        <v>Sono identificate e rispettate le leggi e/o i regolamenti con rilevanza in tema di cybersecurity che risultino applicabili per l’azienda.</v>
      </c>
      <c r="C4" s="15">
        <f>IF(B4="","",_xlfn.XLOOKUP(B4,'Val. Maturità'!$B$4:$B$18,'Val. Maturità'!$C$4:$C$18))</f>
        <v>0</v>
      </c>
      <c r="D4" s="81" cm="1">
        <f t="array" ref="D4">IF(B4="","",IF(INDEX('Tabella Pesi'!$A$1:$Q$16,_xlfn.XMATCH(B4,'Tabella Pesi'!$B$1:$B$16),COLUMN('Tabella Pesi'!$C$1))=Engine!G$48,Engine!G$49,IF(INDEX('Tabella Pesi'!$A$1:$Q$16,_xlfn.XMATCH(B4,'Tabella Pesi'!$B$1:$B$16),COLUMN('Tabella Pesi'!$C$1))=Engine!H$48,Engine!H$49,Engine!$J$49)))</f>
        <v>1</v>
      </c>
      <c r="E4" s="181">
        <f>IF(C4="","",IF(C4=Engine!$B$27,"N/A",IF(C4=Engine!$B$24,1,IF(C4=Engine!$B$25,0.5,0))))</f>
        <v>0</v>
      </c>
      <c r="F4" s="718"/>
      <c r="R4" s="8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</row>
    <row r="5" spans="1:46" ht="45" customHeight="1" thickBot="1" x14ac:dyDescent="0.4">
      <c r="A5" s="78">
        <f>IF(OR('Tabella Pesi'!C4=Engine!$G$48,'Tabella Pesi'!C4=Engine!$H$48,'Tabella Pesi'!C4=Engine!$J$48),1,0)</f>
        <v>0</v>
      </c>
      <c r="B5" s="14" t="str" cm="1">
        <f t="array" ref="B5">IFERROR(INDEX('Tabella Pesi'!$B$2:$B$16, SMALL(IF(1=$A$3:$A$17, ROW('Tabella Pesi'!$B$2:$B$16)-1,""), ROW()-2)),"")</f>
        <v>Tutti i dispositivi che lo consentono sono dotati di software di protezione (antivirus, antimalware, ecc...) regolarmente aggiornato.</v>
      </c>
      <c r="C5" s="15">
        <f>IF(B5="","",_xlfn.XLOOKUP(B5,'Val. Maturità'!$B$4:$B$18,'Val. Maturità'!$C$4:$C$18))</f>
        <v>0</v>
      </c>
      <c r="D5" s="81" cm="1">
        <f t="array" ref="D5">IF(B5="","",IF(INDEX('Tabella Pesi'!$A$1:$Q$16,_xlfn.XMATCH(B5,'Tabella Pesi'!$B$1:$B$16),COLUMN('Tabella Pesi'!$C$1))=Engine!G$48,Engine!G$49,IF(INDEX('Tabella Pesi'!$A$1:$Q$16,_xlfn.XMATCH(B5,'Tabella Pesi'!$B$1:$B$16),COLUMN('Tabella Pesi'!$C$1))=Engine!H$48,Engine!H$49,Engine!$J$49)))</f>
        <v>1</v>
      </c>
      <c r="E5" s="181">
        <f>IF(C5="","",IF(C5=Engine!$B$27,"N/A",IF(C5=Engine!$B$24,1,IF(C5=Engine!$B$25,0.5,0))))</f>
        <v>0</v>
      </c>
      <c r="F5" s="718"/>
      <c r="I5" s="720" t="s">
        <v>88</v>
      </c>
      <c r="J5" s="721"/>
      <c r="K5" s="721"/>
      <c r="L5" s="722"/>
      <c r="M5" s="255" t="e">
        <f>M3*'Val. Maturità'!Q5</f>
        <v>#VALUE!</v>
      </c>
      <c r="O5"/>
      <c r="P5"/>
      <c r="Q5"/>
      <c r="R5" s="84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</row>
    <row r="6" spans="1:46" ht="31" x14ac:dyDescent="0.35">
      <c r="A6" s="78">
        <f>IF(OR('Tabella Pesi'!C5=Engine!$G$48,'Tabella Pesi'!C5=Engine!$H$48,'Tabella Pesi'!C5=Engine!$J$48),1,0)</f>
        <v>0</v>
      </c>
      <c r="B6" s="14" t="str" cm="1">
        <f t="array" ref="B6">IFERROR(INDEX('Tabella Pesi'!$B$2:$B$16, SMALL(IF(1=$A$3:$A$17, ROW('Tabella Pesi'!$B$2:$B$16)-1,""), ROW()-2)),"")</f>
        <v>Il personale è adeguatamente sensibilizzato e formato sui rischi di cybersecurity e sulle pratiche da adottare per l’impiego sicuro degli strumenti aziendali (es. riconoscere allegati e-mail, utilizzare solo software autorizzato,...). I vertici aziendali hanno cura di predisporre per tutto il personale aziendale la formazione necessaria a fornire almeno le nozioni basilari di sicurezza.</v>
      </c>
      <c r="C6" s="15">
        <f>IF(B6="","",_xlfn.XLOOKUP(B6,'Val. Maturità'!$B$4:$B$18,'Val. Maturità'!$C$4:$C$18))</f>
        <v>0</v>
      </c>
      <c r="D6" s="81" cm="1">
        <f t="array" ref="D6">IF(B6="","",IF(INDEX('Tabella Pesi'!$A$1:$Q$16,_xlfn.XMATCH(B6,'Tabella Pesi'!$B$1:$B$16),COLUMN('Tabella Pesi'!$C$1))=Engine!G$48,Engine!G$49,IF(INDEX('Tabella Pesi'!$A$1:$Q$16,_xlfn.XMATCH(B6,'Tabella Pesi'!$B$1:$B$16),COLUMN('Tabella Pesi'!$C$1))=Engine!H$48,Engine!H$49,Engine!$J$49)))</f>
        <v>1</v>
      </c>
      <c r="E6" s="181">
        <f>IF(C6="","",IF(C6=Engine!$B$27,"N/A",IF(C6=Engine!$B$24,1,IF(C6=Engine!$B$25,0.5,0))))</f>
        <v>0</v>
      </c>
      <c r="F6" s="718"/>
      <c r="R6" s="84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</row>
    <row r="7" spans="1:46" ht="31" x14ac:dyDescent="0.35">
      <c r="A7" s="78">
        <f>IF(OR('Tabella Pesi'!C6=Engine!$G$48,'Tabella Pesi'!C6=Engine!$H$48,'Tabella Pesi'!C6=Engine!$J$48),1,0)</f>
        <v>1</v>
      </c>
      <c r="B7" s="14" t="str" cm="1">
        <f t="array" ref="B7">IFERROR(INDEX('Tabella Pesi'!$B$2:$B$16, SMALL(IF(1=$A$3:$A$17, ROW('Tabella Pesi'!$B$2:$B$16)-1,""), ROW()-2)),"")</f>
        <v>La configurazione iniziale di tutti i sistemi e dispositivi è svolta da personale esperto, responsabile per la configurazione sicura degli stessi. Le credenziali di accesso di default sono sempre sostituite.</v>
      </c>
      <c r="C7" s="15">
        <f>IF(B7="","",_xlfn.XLOOKUP(B7,'Val. Maturità'!$B$4:$B$18,'Val. Maturità'!$C$4:$C$18))</f>
        <v>0</v>
      </c>
      <c r="D7" s="81" cm="1">
        <f t="array" ref="D7">IF(B7="","",IF(INDEX('Tabella Pesi'!$A$1:$Q$16,_xlfn.XMATCH(B7,'Tabella Pesi'!$B$1:$B$16),COLUMN('Tabella Pesi'!$C$1))=Engine!G$48,Engine!G$49,IF(INDEX('Tabella Pesi'!$A$1:$Q$16,_xlfn.XMATCH(B7,'Tabella Pesi'!$B$1:$B$16),COLUMN('Tabella Pesi'!$C$1))=Engine!H$48,Engine!H$49,Engine!$J$49)))</f>
        <v>1</v>
      </c>
      <c r="E7" s="181">
        <f>IF(C7="","",IF(C7=Engine!$B$27,"N/A",IF(C7=Engine!$B$24,1,IF(C7=Engine!$B$25,0.5,0))))</f>
        <v>0</v>
      </c>
      <c r="F7" s="718"/>
      <c r="R7" s="84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</row>
    <row r="8" spans="1:46" ht="31" x14ac:dyDescent="0.35">
      <c r="A8" s="78">
        <f>IF(OR('Tabella Pesi'!C7=Engine!$G$48,'Tabella Pesi'!C7=Engine!$H$48,'Tabella Pesi'!C7=Engine!$J$48),1,0)</f>
        <v>1</v>
      </c>
      <c r="B8" s="14" t="str" cm="1">
        <f t="array" ref="B8">IFERROR(INDEX('Tabella Pesi'!$B$2:$B$16, SMALL(IF(1=$A$3:$A$17, ROW('Tabella Pesi'!$B$2:$B$16)-1,""), ROW()-2)),"")</f>
        <v>Sono eseguiti periodicamente backup delle informazioni e dei dati critici per l’azienda (identificati al controllo 3). I backup sono conservati in modo sicuro e verificati periodicamente.</v>
      </c>
      <c r="C8" s="15">
        <f>IF(B8="","",_xlfn.XLOOKUP(B8,'Val. Maturità'!$B$4:$B$18,'Val. Maturità'!$C$4:$C$18))</f>
        <v>0</v>
      </c>
      <c r="D8" s="81" cm="1">
        <f t="array" ref="D8">IF(B8="","",IF(INDEX('Tabella Pesi'!$A$1:$Q$16,_xlfn.XMATCH(B8,'Tabella Pesi'!$B$1:$B$16),COLUMN('Tabella Pesi'!$C$1))=Engine!G$48,Engine!G$49,IF(INDEX('Tabella Pesi'!$A$1:$Q$16,_xlfn.XMATCH(B8,'Tabella Pesi'!$B$1:$B$16),COLUMN('Tabella Pesi'!$C$1))=Engine!H$48,Engine!H$49,Engine!$J$49)))</f>
        <v>1</v>
      </c>
      <c r="E8" s="181">
        <f>IF(C8="","",IF(C8=Engine!$B$27,"N/A",IF(C8=Engine!$B$24,1,IF(C8=Engine!$B$25,0.5,0))))</f>
        <v>0</v>
      </c>
      <c r="F8" s="718"/>
      <c r="R8" s="84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</row>
    <row r="9" spans="1:46" x14ac:dyDescent="0.35">
      <c r="A9" s="78">
        <f>IF(OR('Tabella Pesi'!C8=Engine!$G$48,'Tabella Pesi'!C8=Engine!$H$48,'Tabella Pesi'!C8=Engine!$J$48),1,0)</f>
        <v>0</v>
      </c>
      <c r="B9" s="14" t="str" cm="1">
        <f t="array" ref="B9">IFERROR(INDEX('Tabella Pesi'!$B$2:$B$16, SMALL(IF(1=$A$3:$A$17, ROW('Tabella Pesi'!$B$2:$B$16)-1,""), ROW()-2)),"")</f>
        <v>Tutti i software in uso (inclusi i firmware) sono aggiornati all’ultima versione consigliata dal produttore. I dispositivi o i software obsoleti e non più aggiornabili sono dismessi.</v>
      </c>
      <c r="C9" s="15">
        <f>IF(B9="","",_xlfn.XLOOKUP(B9,'Val. Maturità'!$B$4:$B$18,'Val. Maturità'!$C$4:$C$18))</f>
        <v>0</v>
      </c>
      <c r="D9" s="81" cm="1">
        <f t="array" ref="D9">IF(B9="","",IF(INDEX('Tabella Pesi'!$A$1:$Q$16,_xlfn.XMATCH(B9,'Tabella Pesi'!$B$1:$B$16),COLUMN('Tabella Pesi'!$C$1))=Engine!G$48,Engine!G$49,IF(INDEX('Tabella Pesi'!$A$1:$Q$16,_xlfn.XMATCH(B9,'Tabella Pesi'!$B$1:$B$16),COLUMN('Tabella Pesi'!$C$1))=Engine!H$48,Engine!H$49,Engine!$J$49)))</f>
        <v>1</v>
      </c>
      <c r="E9" s="181">
        <f>IF(C9="","",IF(C9=Engine!$B$27,"N/A",IF(C9=Engine!$B$24,1,IF(C9=Engine!$B$25,0.5,0))))</f>
        <v>0</v>
      </c>
      <c r="F9" s="718"/>
      <c r="R9" s="84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</row>
    <row r="10" spans="1:46" x14ac:dyDescent="0.35">
      <c r="A10" s="78">
        <f>IF(OR('Tabella Pesi'!C9=Engine!$G$48,'Tabella Pesi'!C9=Engine!$H$48,'Tabella Pesi'!C9=Engine!$J$48),1,0)</f>
        <v>0</v>
      </c>
      <c r="B10" s="14" t="str" cm="1">
        <f t="array" ref="B10">IFERROR(INDEX('Tabella Pesi'!$B$2:$B$16, SMALL(IF(1=$A$3:$A$17, ROW('Tabella Pesi'!$B$2:$B$16)-1,""), ROW()-2)),"")</f>
        <v/>
      </c>
      <c r="C10" s="15" t="str">
        <f>IF(B10="","",_xlfn.XLOOKUP(B10,'Val. Maturità'!$B$4:$B$18,'Val. Maturità'!$C$4:$C$18))</f>
        <v/>
      </c>
      <c r="D10" s="81" t="str" cm="1">
        <f t="array" ref="D10">IF(B10="","",IF(INDEX('Tabella Pesi'!$A$1:$Q$16,_xlfn.XMATCH(B10,'Tabella Pesi'!$B$1:$B$16),COLUMN('Tabella Pesi'!$C$1))=Engine!G$48,Engine!G$49,IF(INDEX('Tabella Pesi'!$A$1:$Q$16,_xlfn.XMATCH(B10,'Tabella Pesi'!$B$1:$B$16),COLUMN('Tabella Pesi'!$C$1))=Engine!H$48,Engine!H$49,Engine!$J$49)))</f>
        <v/>
      </c>
      <c r="E10" s="181" t="str">
        <f>IF(C10="","",IF(C10=Engine!$B$27,"N/A",IF(C10=Engine!$B$24,1,IF(C10=Engine!$B$25,0.5,0))))</f>
        <v/>
      </c>
      <c r="F10" s="718"/>
      <c r="R10" s="84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</row>
    <row r="11" spans="1:46" x14ac:dyDescent="0.35">
      <c r="A11" s="78">
        <f>IF(OR('Tabella Pesi'!C10=Engine!$G$48,'Tabella Pesi'!C10=Engine!$H$48,'Tabella Pesi'!C10=Engine!$J$48),1,0)</f>
        <v>0</v>
      </c>
      <c r="B11" s="14" t="str" cm="1">
        <f t="array" ref="B11">IFERROR(INDEX('Tabella Pesi'!$B$2:$B$16, SMALL(IF(1=$A$3:$A$17, ROW('Tabella Pesi'!$B$2:$B$16)-1,""), ROW()-2)),"")</f>
        <v/>
      </c>
      <c r="C11" s="15" t="str">
        <f>IF(B11="","",_xlfn.XLOOKUP(B11,'Val. Maturità'!$B$4:$B$18,'Val. Maturità'!$C$4:$C$18))</f>
        <v/>
      </c>
      <c r="D11" s="81" t="str" cm="1">
        <f t="array" ref="D11">IF(B11="","",IF(INDEX('Tabella Pesi'!$A$1:$Q$16,_xlfn.XMATCH(B11,'Tabella Pesi'!$B$1:$B$16),COLUMN('Tabella Pesi'!$C$1))=Engine!G$48,Engine!G$49,IF(INDEX('Tabella Pesi'!$A$1:$Q$16,_xlfn.XMATCH(B11,'Tabella Pesi'!$B$1:$B$16),COLUMN('Tabella Pesi'!$C$1))=Engine!H$48,Engine!H$49,Engine!$J$49)))</f>
        <v/>
      </c>
      <c r="E11" s="181" t="str">
        <f>IF(C11="","",IF(C11=Engine!$B$27,"N/A",IF(C11=Engine!$B$24,1,IF(C11=Engine!$B$25,0.5,0))))</f>
        <v/>
      </c>
      <c r="F11" s="718"/>
      <c r="R11" s="84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</row>
    <row r="12" spans="1:46" x14ac:dyDescent="0.35">
      <c r="A12" s="78">
        <f>IF(OR('Tabella Pesi'!C11=Engine!$G$48,'Tabella Pesi'!C11=Engine!$H$48,'Tabella Pesi'!C11=Engine!$J$48),1,0)</f>
        <v>1</v>
      </c>
      <c r="B12" s="14" t="str" cm="1">
        <f t="array" ref="B12">IFERROR(INDEX('Tabella Pesi'!$B$2:$B$16, SMALL(IF(1=$A$3:$A$17, ROW('Tabella Pesi'!$B$2:$B$16)-1,""), ROW()-2)),"")</f>
        <v/>
      </c>
      <c r="C12" s="15" t="str">
        <f>IF(B12="","",_xlfn.XLOOKUP(B12,'Val. Maturità'!$B$4:$B$18,'Val. Maturità'!$C$4:$C$18))</f>
        <v/>
      </c>
      <c r="D12" s="81" t="str" cm="1">
        <f t="array" ref="D12">IF(B12="","",IF(INDEX('Tabella Pesi'!$A$1:$Q$16,_xlfn.XMATCH(B12,'Tabella Pesi'!$B$1:$B$16),COLUMN('Tabella Pesi'!$C$1))=Engine!G$48,Engine!G$49,IF(INDEX('Tabella Pesi'!$A$1:$Q$16,_xlfn.XMATCH(B12,'Tabella Pesi'!$B$1:$B$16),COLUMN('Tabella Pesi'!$C$1))=Engine!H$48,Engine!H$49,Engine!$J$49)))</f>
        <v/>
      </c>
      <c r="E12" s="181" t="str">
        <f>IF(C12="","",IF(C12=Engine!$B$27,"N/A",IF(C12=Engine!$B$24,1,IF(C12=Engine!$B$25,0.5,0))))</f>
        <v/>
      </c>
      <c r="F12" s="718"/>
      <c r="R12" s="84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</row>
    <row r="13" spans="1:46" x14ac:dyDescent="0.35">
      <c r="A13" s="78">
        <f>IF(OR('Tabella Pesi'!C12=Engine!$G$48,'Tabella Pesi'!C12=Engine!$H$48,'Tabella Pesi'!C12=Engine!$J$48),1,0)</f>
        <v>1</v>
      </c>
      <c r="B13" s="14" t="str" cm="1">
        <f t="array" ref="B13">IFERROR(INDEX('Tabella Pesi'!$B$2:$B$16, SMALL(IF(1=$A$3:$A$17, ROW('Tabella Pesi'!$B$2:$B$16)-1,""), ROW()-2)),"")</f>
        <v/>
      </c>
      <c r="C13" s="15" t="str">
        <f>IF(B13="","",_xlfn.XLOOKUP(B13,'Val. Maturità'!$B$4:$B$18,'Val. Maturità'!$C$4:$C$18))</f>
        <v/>
      </c>
      <c r="D13" s="81" t="str" cm="1">
        <f t="array" ref="D13">IF(B13="","",IF(INDEX('Tabella Pesi'!$A$1:$Q$16,_xlfn.XMATCH(B13,'Tabella Pesi'!$B$1:$B$16),COLUMN('Tabella Pesi'!$C$1))=Engine!G$48,Engine!G$49,IF(INDEX('Tabella Pesi'!$A$1:$Q$16,_xlfn.XMATCH(B13,'Tabella Pesi'!$B$1:$B$16),COLUMN('Tabella Pesi'!$C$1))=Engine!H$48,Engine!H$49,Engine!$J$49)))</f>
        <v/>
      </c>
      <c r="E13" s="181" t="str">
        <f>IF(C13="","",IF(C13=Engine!$B$27,"N/A",IF(C13=Engine!$B$24,1,IF(C13=Engine!$B$25,0.5,0))))</f>
        <v/>
      </c>
      <c r="F13" s="718"/>
      <c r="R13" s="84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</row>
    <row r="14" spans="1:46" x14ac:dyDescent="0.35">
      <c r="A14" s="78">
        <f>IF(OR('Tabella Pesi'!C13=Engine!$G$48,'Tabella Pesi'!C13=Engine!$H$48,'Tabella Pesi'!C13=Engine!$J$48),1,0)</f>
        <v>1</v>
      </c>
      <c r="B14" s="14" t="str" cm="1">
        <f t="array" ref="B14">IFERROR(INDEX('Tabella Pesi'!$B$2:$B$16, SMALL(IF(1=$A$3:$A$17, ROW('Tabella Pesi'!$B$2:$B$16)-1,""), ROW()-2)),"")</f>
        <v/>
      </c>
      <c r="C14" s="15" t="str">
        <f>IF(B14="","",_xlfn.XLOOKUP(B14,'Val. Maturità'!$B$4:$B$18,'Val. Maturità'!$C$4:$C$18))</f>
        <v/>
      </c>
      <c r="D14" s="81" t="str" cm="1">
        <f t="array" ref="D14">IF(B14="","",IF(INDEX('Tabella Pesi'!$A$1:$Q$16,_xlfn.XMATCH(B14,'Tabella Pesi'!$B$1:$B$16),COLUMN('Tabella Pesi'!$C$1))=Engine!G$48,Engine!G$49,IF(INDEX('Tabella Pesi'!$A$1:$Q$16,_xlfn.XMATCH(B14,'Tabella Pesi'!$B$1:$B$16),COLUMN('Tabella Pesi'!$C$1))=Engine!H$48,Engine!H$49,Engine!$J$49)))</f>
        <v/>
      </c>
      <c r="E14" s="181" t="str">
        <f>IF(C14="","",IF(C14=Engine!$B$27,"N/A",IF(C14=Engine!$B$24,1,IF(C14=Engine!$B$25,0.5,0))))</f>
        <v/>
      </c>
      <c r="F14" s="718"/>
      <c r="R14" s="85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</row>
    <row r="15" spans="1:46" x14ac:dyDescent="0.35">
      <c r="A15" s="78">
        <f>IF(OR('Tabella Pesi'!C14=Engine!$G$48,'Tabella Pesi'!C14=Engine!$H$48,'Tabella Pesi'!C14=Engine!$J$48),1,0)</f>
        <v>0</v>
      </c>
      <c r="B15" s="14" t="str" cm="1">
        <f t="array" ref="B15">IFERROR(INDEX('Tabella Pesi'!$B$2:$B$16, SMALL(IF(1=$A$3:$A$17, ROW('Tabella Pesi'!$B$2:$B$16)-1,""), ROW()-2)),"")</f>
        <v/>
      </c>
      <c r="C15" s="15" t="str">
        <f>IF(B15="","",_xlfn.XLOOKUP(B15,'Val. Maturità'!$B$4:$B$18,'Val. Maturità'!$C$4:$C$18))</f>
        <v/>
      </c>
      <c r="D15" s="81" t="str" cm="1">
        <f t="array" ref="D15">IF(B15="","",IF(INDEX('Tabella Pesi'!$A$1:$Q$16,_xlfn.XMATCH(B15,'Tabella Pesi'!$B$1:$B$16),COLUMN('Tabella Pesi'!$C$1))=Engine!G$48,Engine!G$49,IF(INDEX('Tabella Pesi'!$A$1:$Q$16,_xlfn.XMATCH(B15,'Tabella Pesi'!$B$1:$B$16),COLUMN('Tabella Pesi'!$C$1))=Engine!H$48,Engine!H$49,Engine!$J$49)))</f>
        <v/>
      </c>
      <c r="E15" s="181" t="str">
        <f>IF(C15="","",IF(C15=Engine!$B$27,"N/A",IF(C15=Engine!$B$24,1,IF(C15=Engine!$B$25,0.5,0))))</f>
        <v/>
      </c>
      <c r="F15" s="718"/>
      <c r="R15" s="84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</row>
    <row r="16" spans="1:46" x14ac:dyDescent="0.35">
      <c r="A16" s="78">
        <f>IF(OR('Tabella Pesi'!C15=Engine!$G$48,'Tabella Pesi'!C15=Engine!$H$48,'Tabella Pesi'!C15=Engine!$J$48),1,0)</f>
        <v>0</v>
      </c>
      <c r="B16" s="14" t="str" cm="1">
        <f t="array" ref="B16">IFERROR(INDEX('Tabella Pesi'!$B$2:$B$16, SMALL(IF(1=$A$3:$A$17, ROW('Tabella Pesi'!$B$2:$B$16)-1,""), ROW()-2)),"")</f>
        <v/>
      </c>
      <c r="C16" s="15" t="str">
        <f>IF(B16="","",_xlfn.XLOOKUP(B16,'Val. Maturità'!$B$4:$B$18,'Val. Maturità'!$C$4:$C$18))</f>
        <v/>
      </c>
      <c r="D16" s="81" t="str" cm="1">
        <f t="array" ref="D16">IF(B16="","",IF(INDEX('Tabella Pesi'!$A$1:$Q$16,_xlfn.XMATCH(B16,'Tabella Pesi'!$B$1:$B$16),COLUMN('Tabella Pesi'!$C$1))=Engine!G$48,Engine!G$49,IF(INDEX('Tabella Pesi'!$A$1:$Q$16,_xlfn.XMATCH(B16,'Tabella Pesi'!$B$1:$B$16),COLUMN('Tabella Pesi'!$C$1))=Engine!H$48,Engine!H$49,Engine!$J$49)))</f>
        <v/>
      </c>
      <c r="E16" s="181" t="str">
        <f>IF(C16="","",IF(C16=Engine!$B$27,"N/A",IF(C16=Engine!$B$24,1,IF(C16=Engine!$B$25,0.5,0))))</f>
        <v/>
      </c>
      <c r="F16" s="718"/>
      <c r="R16" s="84"/>
      <c r="AD16"/>
      <c r="AE16"/>
      <c r="AF16"/>
      <c r="AG16"/>
      <c r="AH16"/>
      <c r="AI16"/>
      <c r="AJ16"/>
      <c r="AK16"/>
      <c r="AL16"/>
      <c r="AM16"/>
      <c r="AN16"/>
      <c r="AO16" s="254"/>
      <c r="AP16"/>
      <c r="AQ16"/>
      <c r="AR16"/>
      <c r="AS16"/>
    </row>
    <row r="17" spans="1:46" ht="16" thickBot="1" x14ac:dyDescent="0.4">
      <c r="A17" s="79">
        <f>IF(OR('Tabella Pesi'!C16=Engine!$G$48,'Tabella Pesi'!C16=Engine!$H$48,'Tabella Pesi'!C16=Engine!$J$48),1,0)</f>
        <v>1</v>
      </c>
      <c r="B17" s="16" t="str" cm="1">
        <f t="array" ref="B17">IFERROR(INDEX('Tabella Pesi'!$B$2:$B$16, SMALL(IF(1=$A$3:$A$17, ROW('Tabella Pesi'!$B$2:$B$16)-1,""), ROW()-2)),"")</f>
        <v/>
      </c>
      <c r="C17" s="17" t="str">
        <f>IF(B17="","",_xlfn.XLOOKUP(B17,'Val. Maturità'!$B$4:$B$18,'Val. Maturità'!$C$4:$C$18))</f>
        <v/>
      </c>
      <c r="D17" s="82" t="str" cm="1">
        <f t="array" ref="D17">IF(B17="","",IF(INDEX('Tabella Pesi'!$A$1:$Q$16,_xlfn.XMATCH(B17,'Tabella Pesi'!$B$1:$B$16),COLUMN('Tabella Pesi'!$C$1))=Engine!G$48,Engine!G$49,IF(INDEX('Tabella Pesi'!$A$1:$Q$16,_xlfn.XMATCH(B17,'Tabella Pesi'!$B$1:$B$16),COLUMN('Tabella Pesi'!$C$1))=Engine!H$48,Engine!H$49,Engine!$J$49)))</f>
        <v/>
      </c>
      <c r="E17" s="183" t="str">
        <f>IF(C17="","",IF(C17=Engine!$B$27,"N/A",IF(C17=Engine!$B$24,1,IF(C17=Engine!$B$25,0.5,0))))</f>
        <v/>
      </c>
      <c r="F17" s="719"/>
      <c r="R17" s="84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</row>
    <row r="18" spans="1:46" ht="16" thickBot="1" x14ac:dyDescent="0.4">
      <c r="A18" s="86"/>
      <c r="B18" s="42"/>
      <c r="C18" s="87"/>
      <c r="D18" s="88"/>
      <c r="E18" s="89"/>
      <c r="F18" s="89"/>
      <c r="G18" s="89"/>
      <c r="H18" s="89"/>
      <c r="I18" s="89"/>
      <c r="J18" s="89"/>
      <c r="K18" s="89"/>
      <c r="L18" s="89"/>
      <c r="M18" s="89"/>
      <c r="N18" s="89"/>
      <c r="O18" s="89"/>
      <c r="P18" s="89"/>
      <c r="Q18" s="89"/>
      <c r="R18" s="90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</row>
    <row r="19" spans="1:46" x14ac:dyDescent="0.35"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</row>
    <row r="20" spans="1:46" x14ac:dyDescent="0.35"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</row>
    <row r="21" spans="1:46" x14ac:dyDescent="0.35"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</row>
    <row r="22" spans="1:46" x14ac:dyDescent="0.35"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</row>
    <row r="23" spans="1:46" x14ac:dyDescent="0.35"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</row>
    <row r="24" spans="1:46" x14ac:dyDescent="0.35"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</row>
    <row r="25" spans="1:46" x14ac:dyDescent="0.35"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</row>
    <row r="26" spans="1:46" x14ac:dyDescent="0.35"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</row>
    <row r="27" spans="1:46" x14ac:dyDescent="0.35"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</row>
    <row r="28" spans="1:46" x14ac:dyDescent="0.35"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 s="9"/>
    </row>
    <row r="29" spans="1:46" x14ac:dyDescent="0.35"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</row>
    <row r="30" spans="1:46" x14ac:dyDescent="0.35"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</row>
    <row r="31" spans="1:46" x14ac:dyDescent="0.35"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</row>
    <row r="32" spans="1:46" x14ac:dyDescent="0.35"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</row>
    <row r="33" spans="30:46" x14ac:dyDescent="0.35"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</row>
    <row r="34" spans="30:46" x14ac:dyDescent="0.35"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</row>
    <row r="35" spans="30:46" x14ac:dyDescent="0.35"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</row>
    <row r="36" spans="30:46" x14ac:dyDescent="0.35"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</row>
    <row r="37" spans="30:46" x14ac:dyDescent="0.35"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</row>
    <row r="38" spans="30:46" x14ac:dyDescent="0.35"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</row>
    <row r="39" spans="30:46" x14ac:dyDescent="0.35"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</row>
    <row r="40" spans="30:46" x14ac:dyDescent="0.35"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</row>
    <row r="41" spans="30:46" x14ac:dyDescent="0.35"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</row>
    <row r="42" spans="30:46" x14ac:dyDescent="0.35"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</row>
    <row r="43" spans="30:46" x14ac:dyDescent="0.35"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</row>
    <row r="44" spans="30:46" x14ac:dyDescent="0.35"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</row>
    <row r="45" spans="30:46" x14ac:dyDescent="0.35"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</row>
    <row r="46" spans="30:46" x14ac:dyDescent="0.35"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</row>
    <row r="47" spans="30:46" x14ac:dyDescent="0.35">
      <c r="AD47"/>
      <c r="AE47"/>
      <c r="AF47"/>
      <c r="AG47"/>
      <c r="AH47" s="716"/>
      <c r="AI47" s="716"/>
      <c r="AJ47" s="254"/>
      <c r="AK47"/>
      <c r="AL47"/>
      <c r="AM47"/>
      <c r="AN47"/>
      <c r="AO47"/>
      <c r="AP47"/>
      <c r="AQ47"/>
      <c r="AR47"/>
      <c r="AS47"/>
      <c r="AT47"/>
    </row>
    <row r="48" spans="30:46" x14ac:dyDescent="0.35"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</row>
    <row r="49" spans="30:46" x14ac:dyDescent="0.35"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</row>
    <row r="50" spans="30:46" x14ac:dyDescent="0.35"/>
  </sheetData>
  <sheetProtection algorithmName="SHA-512" hashValue="9xoMgtv8nqNGfMr19mU+JR6zXwN19ralBWU/Fe4pWaDlbR0PHo31d5usM4M24DH8BQgSZTW1BDIlgcBCfuqFKA==" saltValue="SayHU/+ev/QzSw3bz6B18g==" spinCount="100000" sheet="1" objects="1" scenarios="1" selectLockedCells="1" selectUnlockedCells="1"/>
  <mergeCells count="6">
    <mergeCell ref="A1:R1"/>
    <mergeCell ref="AM2:AO2"/>
    <mergeCell ref="F3:F17"/>
    <mergeCell ref="AH47:AI47"/>
    <mergeCell ref="I5:L5"/>
    <mergeCell ref="I3:L3"/>
  </mergeCells>
  <conditionalFormatting sqref="AP16:AQ16">
    <cfRule type="colorScale" priority="2">
      <colorScale>
        <cfvo type="num" val="0"/>
        <cfvo type="num" val="0.5"/>
        <cfvo type="num" val="1"/>
        <color rgb="FF00B050"/>
        <color rgb="FFFFEB84"/>
        <color theme="5"/>
      </colorScale>
    </cfRule>
  </conditionalFormatting>
  <dataValidations count="1">
    <dataValidation type="list" allowBlank="1" showInputMessage="1" showErrorMessage="1" sqref="P3" xr:uid="{7A10CFD8-192E-4380-9BF7-D7237465598D}">
      <formula1>"0,1,2,3,4,5,6,7,8,9,10"</formula1>
    </dataValidation>
  </dataValidation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64E1C57A-BD8B-4BBF-A1CE-12BD209EBA5F}">
            <xm:f>COUNTA(B3:B17)-COUNTIFS(B3:B17,"")&lt;&gt;'Tabella Pesi'!$C$17</xm:f>
            <x14:dxf>
              <font>
                <color rgb="FFFF0000"/>
              </font>
              <fill>
                <patternFill>
                  <bgColor rgb="FFFF0000"/>
                </patternFill>
              </fill>
            </x14:dxf>
          </x14:cfRule>
          <xm:sqref>B2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F166B4-C913-443B-AC48-9950617D3D34}">
  <sheetPr codeName="Foglio6">
    <tabColor theme="8" tint="0.39997558519241921"/>
  </sheetPr>
  <dimension ref="A1:AS50"/>
  <sheetViews>
    <sheetView showGridLines="0" topLeftCell="B1" zoomScale="60" zoomScaleNormal="60" workbookViewId="0">
      <selection activeCell="B1" sqref="A1:XFD1048576"/>
    </sheetView>
  </sheetViews>
  <sheetFormatPr defaultColWidth="0" defaultRowHeight="14.5" zeroHeight="1" outlineLevelCol="1" x14ac:dyDescent="0.35"/>
  <cols>
    <col min="1" max="1" width="3.54296875" style="1" hidden="1" customWidth="1" outlineLevel="1"/>
    <col min="2" max="2" width="83.81640625" style="10" customWidth="1" collapsed="1"/>
    <col min="3" max="3" width="8.81640625" style="1" customWidth="1"/>
    <col min="4" max="4" width="7.54296875" style="1" hidden="1" customWidth="1" outlineLevel="1"/>
    <col min="5" max="5" width="7" style="1" hidden="1" customWidth="1" outlineLevel="1"/>
    <col min="6" max="6" width="7.1796875" style="10" customWidth="1" collapsed="1"/>
    <col min="7" max="39" width="8.81640625" style="10" customWidth="1"/>
    <col min="40" max="40" width="9.90625" style="10" customWidth="1"/>
    <col min="41" max="45" width="8.81640625" style="10" customWidth="1"/>
    <col min="46" max="16384" width="8.81640625" style="10" hidden="1"/>
  </cols>
  <sheetData>
    <row r="1" spans="1:42" ht="35" customHeight="1" thickBot="1" x14ac:dyDescent="0.4">
      <c r="A1" s="726" t="s">
        <v>37</v>
      </c>
      <c r="B1" s="727"/>
      <c r="C1" s="727"/>
      <c r="D1" s="727"/>
      <c r="E1" s="727"/>
      <c r="F1" s="727"/>
      <c r="G1" s="727"/>
      <c r="H1" s="727"/>
      <c r="I1" s="727"/>
      <c r="J1" s="727"/>
      <c r="K1" s="727"/>
      <c r="L1" s="727"/>
      <c r="M1" s="727"/>
      <c r="N1" s="727"/>
      <c r="O1" s="727"/>
      <c r="P1" s="727"/>
      <c r="Q1" s="727"/>
      <c r="R1" s="728"/>
      <c r="AC1"/>
      <c r="AD1"/>
      <c r="AE1"/>
      <c r="AF1"/>
      <c r="AG1"/>
      <c r="AH1"/>
      <c r="AI1"/>
      <c r="AJ1"/>
      <c r="AK1"/>
      <c r="AL1"/>
      <c r="AM1"/>
      <c r="AN1"/>
      <c r="AO1"/>
      <c r="AP1"/>
    </row>
    <row r="2" spans="1:42" ht="19" thickBot="1" x14ac:dyDescent="0.4">
      <c r="A2" s="122"/>
      <c r="B2" s="121"/>
      <c r="C2" s="121"/>
      <c r="D2" s="121"/>
      <c r="R2" s="123"/>
      <c r="AC2"/>
      <c r="AD2"/>
      <c r="AE2"/>
      <c r="AF2"/>
      <c r="AG2"/>
      <c r="AH2"/>
      <c r="AI2"/>
      <c r="AJ2"/>
      <c r="AK2"/>
      <c r="AL2"/>
      <c r="AM2" s="716"/>
      <c r="AN2" s="716"/>
      <c r="AO2" s="716"/>
      <c r="AP2"/>
    </row>
    <row r="3" spans="1:42" ht="45.5" customHeight="1" thickBot="1" x14ac:dyDescent="0.4">
      <c r="A3" s="192">
        <f>IF(OR('Tabella Pesi'!D2=Engine!$G$48,'Tabella Pesi'!D2=Engine!$H$48,'Tabella Pesi'!D2=Engine!$J$48),1,0)</f>
        <v>0</v>
      </c>
      <c r="B3" s="131" t="str" cm="1">
        <f t="array" ref="B3">IFERROR(INDEX('Tabella Pesi'!$B$2:$B$16, SMALL(IF(1=$A$3:$A$17, ROW('Tabella Pesi'!$B$2:$B$16)-1,""), ROW()-2)),"")</f>
        <v>I servizi web (social network, cloud computing, posta elettronica, spazio web, ecc.) offerti da terze parti a cui si è registrati sono quelli strettamente necessari.</v>
      </c>
      <c r="C3" s="195">
        <f>IF(B3="","",_xlfn.XLOOKUP(B3,'Val. Maturità'!$B$4:$B$18,'Val. Maturità'!$C$4:$C$18))</f>
        <v>0</v>
      </c>
      <c r="D3" s="2" cm="1">
        <f t="array" ref="D3">IF(B3="","",IF(INDEX('Tabella Pesi'!$A$1:$Q$16,_xlfn.XMATCH(B3,'Tabella Pesi'!$B$1:$B$16),COLUMN('Tabella Pesi'!$D$1))=Engine!G$48,Engine!G$49,IF(INDEX('Tabella Pesi'!$A$1:$Q$16,_xlfn.XMATCH(B3,'Tabella Pesi'!$B$1:$B$16),COLUMN('Tabella Pesi'!$D$1))=Engine!H$48,Engine!H$49,Engine!$J$49)))</f>
        <v>1</v>
      </c>
      <c r="E3" s="7">
        <f>IF(C3="","",IF(C3=Engine!$B$27,"N/A",IF(C3=Engine!$B$24,1,IF(C3=Engine!$B$25,0.5,0))))</f>
        <v>0</v>
      </c>
      <c r="F3" s="729" cm="1">
        <f t="array" ref="F3">(SUMPRODUCT(--(E3:E17&lt;&gt;"N/A"),E3:E17,D3:D17)/SUMIF(E3:E17,"&lt;&gt;N/A",D3:D17))*10</f>
        <v>0</v>
      </c>
      <c r="H3" s="20"/>
      <c r="I3" s="723" t="s">
        <v>296</v>
      </c>
      <c r="J3" s="724"/>
      <c r="K3" s="724"/>
      <c r="L3" s="725"/>
      <c r="M3" s="115" t="e">
        <f>Engine!$H$58+((Engine!$D$57-Engine!$H$58)/(1+Engine!$D$58*EXP(-Engine!$H$57*(F3-Engine!$F$57)))^(1/Engine!$F$58))</f>
        <v>#VALUE!</v>
      </c>
      <c r="N3"/>
      <c r="O3"/>
      <c r="P3"/>
      <c r="Q3" s="20"/>
      <c r="R3" s="123"/>
      <c r="AC3"/>
      <c r="AD3"/>
      <c r="AE3"/>
      <c r="AF3"/>
      <c r="AG3"/>
      <c r="AH3"/>
      <c r="AI3"/>
      <c r="AJ3"/>
      <c r="AK3"/>
      <c r="AL3"/>
      <c r="AM3"/>
      <c r="AN3"/>
      <c r="AO3"/>
      <c r="AP3"/>
    </row>
    <row r="4" spans="1:42" ht="47" thickBot="1" x14ac:dyDescent="0.4">
      <c r="A4" s="193">
        <f>IF(OR('Tabella Pesi'!D3=Engine!$G$48,'Tabella Pesi'!D3=Engine!$H$48,'Tabella Pesi'!D3=Engine!$J$48),1,0)</f>
        <v>1</v>
      </c>
      <c r="B4" s="132" t="str" cm="1">
        <f t="array" ref="B4">IFERROR(INDEX('Tabella Pesi'!$B$2:$B$16, SMALL(IF(1=$A$3:$A$17, ROW('Tabella Pesi'!$B$2:$B$16)-1,""), ROW()-2)),"")</f>
        <v>Sono identificate e rispettate le leggi e/o i regolamenti con rilevanza in tema di cybersecurity che risultino applicabili per l’azienda.</v>
      </c>
      <c r="C4" s="196">
        <f>IF(B4="","",_xlfn.XLOOKUP(B4,'Val. Maturità'!$B$4:$B$18,'Val. Maturità'!$C$4:$C$18))</f>
        <v>0</v>
      </c>
      <c r="D4" s="3" cm="1">
        <f t="array" ref="D4">IF(B4="","",IF(INDEX('Tabella Pesi'!$A$1:$Q$16,_xlfn.XMATCH(B4,'Tabella Pesi'!$B$1:$B$16),COLUMN('Tabella Pesi'!$D$1))=Engine!G$48,Engine!G$49,IF(INDEX('Tabella Pesi'!$A$1:$Q$16,_xlfn.XMATCH(B4,'Tabella Pesi'!$B$1:$B$16),COLUMN('Tabella Pesi'!$D$1))=Engine!H$48,Engine!H$49,Engine!$J$49)))</f>
        <v>1</v>
      </c>
      <c r="E4" s="8">
        <f>IF(C4="","",IF(C4=Engine!$B$27,"N/A",IF(C4=Engine!$B$24,1,IF(C4=Engine!$B$25,0.5,0))))</f>
        <v>0</v>
      </c>
      <c r="F4" s="730"/>
      <c r="H4" s="20"/>
      <c r="I4" s="20"/>
      <c r="J4" s="20"/>
      <c r="K4" s="20"/>
      <c r="L4" s="20"/>
      <c r="M4" s="20"/>
      <c r="N4" s="20"/>
      <c r="O4"/>
      <c r="P4"/>
      <c r="Q4" s="20"/>
      <c r="R4" s="123"/>
      <c r="AC4"/>
      <c r="AD4"/>
      <c r="AE4"/>
      <c r="AF4"/>
      <c r="AG4"/>
      <c r="AH4"/>
      <c r="AI4"/>
      <c r="AJ4"/>
      <c r="AK4"/>
      <c r="AL4"/>
      <c r="AM4"/>
      <c r="AN4"/>
      <c r="AO4"/>
      <c r="AP4"/>
    </row>
    <row r="5" spans="1:42" ht="40" customHeight="1" thickBot="1" x14ac:dyDescent="0.4">
      <c r="A5" s="193">
        <f>IF(OR('Tabella Pesi'!D4=Engine!$G$48,'Tabella Pesi'!D4=Engine!$H$48,'Tabella Pesi'!D4=Engine!$J$48),1,0)</f>
        <v>0</v>
      </c>
      <c r="B5" s="132" t="str" cm="1">
        <f t="array" ref="B5">IFERROR(INDEX('Tabella Pesi'!$B$2:$B$16, SMALL(IF(1=$A$3:$A$17, ROW('Tabella Pesi'!$B$2:$B$16)-1,""), ROW()-2)),"")</f>
        <v>Tutti i dispositivi che lo consentono sono dotati di software di protezione (antivirus, antimalware, ecc...) regolarmente aggiornato.</v>
      </c>
      <c r="C5" s="196">
        <f>IF(B5="","",_xlfn.XLOOKUP(B5,'Val. Maturità'!$B$4:$B$18,'Val. Maturità'!$C$4:$C$18))</f>
        <v>0</v>
      </c>
      <c r="D5" s="3" cm="1">
        <f t="array" ref="D5">IF(B5="","",IF(INDEX('Tabella Pesi'!$A$1:$Q$16,_xlfn.XMATCH(B5,'Tabella Pesi'!$B$1:$B$16),COLUMN('Tabella Pesi'!$D$1))=Engine!G$48,Engine!G$49,IF(INDEX('Tabella Pesi'!$A$1:$Q$16,_xlfn.XMATCH(B5,'Tabella Pesi'!$B$1:$B$16),COLUMN('Tabella Pesi'!$D$1))=Engine!H$48,Engine!H$49,Engine!$J$49)))</f>
        <v>1</v>
      </c>
      <c r="E5" s="8">
        <f>IF(C5="","",IF(C5=Engine!$B$27,"N/A",IF(C5=Engine!$B$24,1,IF(C5=Engine!$B$25,0.5,0))))</f>
        <v>0</v>
      </c>
      <c r="F5" s="730"/>
      <c r="H5" s="20"/>
      <c r="I5" s="720" t="s">
        <v>88</v>
      </c>
      <c r="J5" s="721"/>
      <c r="K5" s="721"/>
      <c r="L5" s="722"/>
      <c r="M5" s="255" t="e">
        <f>M3*'Val. Maturità'!Q5</f>
        <v>#VALUE!</v>
      </c>
      <c r="N5" s="20"/>
      <c r="O5"/>
      <c r="P5"/>
      <c r="Q5" s="20"/>
      <c r="R5" s="123"/>
      <c r="AC5"/>
      <c r="AD5"/>
      <c r="AE5"/>
      <c r="AF5"/>
      <c r="AG5"/>
      <c r="AH5"/>
      <c r="AI5"/>
      <c r="AJ5"/>
      <c r="AK5"/>
      <c r="AL5"/>
      <c r="AM5"/>
      <c r="AN5"/>
      <c r="AO5"/>
      <c r="AP5"/>
    </row>
    <row r="6" spans="1:42" ht="46.5" x14ac:dyDescent="0.35">
      <c r="A6" s="193">
        <f>IF(OR('Tabella Pesi'!D5=Engine!$G$48,'Tabella Pesi'!D5=Engine!$H$48,'Tabella Pesi'!D5=Engine!$J$48),1,0)</f>
        <v>0</v>
      </c>
      <c r="B6" s="132" t="str" cm="1">
        <f t="array" ref="B6">IFERROR(INDEX('Tabella Pesi'!$B$2:$B$16, SMALL(IF(1=$A$3:$A$17, ROW('Tabella Pesi'!$B$2:$B$16)-1,""), ROW()-2)),"")</f>
        <v>Il personale è adeguatamente sensibilizzato e formato sui rischi di cybersecurity e sulle pratiche da adottare per l’impiego sicuro degli strumenti aziendali (es. riconoscere allegati e-mail, utilizzare solo software autorizzato,...). I vertici aziendali hanno cura di predisporre per tutto il personale aziendale la formazione necessaria a fornire almeno le nozioni basilari di sicurezza.</v>
      </c>
      <c r="C6" s="196">
        <f>IF(B6="","",_xlfn.XLOOKUP(B6,'Val. Maturità'!$B$4:$B$18,'Val. Maturità'!$C$4:$C$18))</f>
        <v>0</v>
      </c>
      <c r="D6" s="3" cm="1">
        <f t="array" ref="D6">IF(B6="","",IF(INDEX('Tabella Pesi'!$A$1:$Q$16,_xlfn.XMATCH(B6,'Tabella Pesi'!$B$1:$B$16),COLUMN('Tabella Pesi'!$D$1))=Engine!G$48,Engine!G$49,IF(INDEX('Tabella Pesi'!$A$1:$Q$16,_xlfn.XMATCH(B6,'Tabella Pesi'!$B$1:$B$16),COLUMN('Tabella Pesi'!$D$1))=Engine!H$48,Engine!H$49,Engine!$J$49)))</f>
        <v>1</v>
      </c>
      <c r="E6" s="8">
        <f>IF(C6="","",IF(C6=Engine!$B$27,"N/A",IF(C6=Engine!$B$24,1,IF(C6=Engine!$B$25,0.5,0))))</f>
        <v>0</v>
      </c>
      <c r="F6" s="730"/>
      <c r="R6" s="123"/>
      <c r="AC6"/>
      <c r="AD6"/>
      <c r="AE6"/>
      <c r="AF6"/>
      <c r="AG6"/>
      <c r="AH6"/>
      <c r="AI6"/>
      <c r="AJ6"/>
      <c r="AK6"/>
      <c r="AL6"/>
      <c r="AM6"/>
      <c r="AN6"/>
      <c r="AO6"/>
      <c r="AP6"/>
    </row>
    <row r="7" spans="1:42" ht="31" x14ac:dyDescent="0.35">
      <c r="A7" s="193">
        <f>IF(OR('Tabella Pesi'!D6=Engine!$G$48,'Tabella Pesi'!D6=Engine!$H$48,'Tabella Pesi'!D6=Engine!$J$48),1,0)</f>
        <v>1</v>
      </c>
      <c r="B7" s="132" t="str" cm="1">
        <f t="array" ref="B7">IFERROR(INDEX('Tabella Pesi'!$B$2:$B$16, SMALL(IF(1=$A$3:$A$17, ROW('Tabella Pesi'!$B$2:$B$16)-1,""), ROW()-2)),"")</f>
        <v>La configurazione iniziale di tutti i sistemi e dispositivi è svolta da personale esperto, responsabile per la configurazione sicura degli stessi. Le credenziali di accesso di default sono sempre sostituite.</v>
      </c>
      <c r="C7" s="196">
        <f>IF(B7="","",_xlfn.XLOOKUP(B7,'Val. Maturità'!$B$4:$B$18,'Val. Maturità'!$C$4:$C$18))</f>
        <v>0</v>
      </c>
      <c r="D7" s="3" cm="1">
        <f t="array" ref="D7">IF(B7="","",IF(INDEX('Tabella Pesi'!$A$1:$Q$16,_xlfn.XMATCH(B7,'Tabella Pesi'!$B$1:$B$16),COLUMN('Tabella Pesi'!$D$1))=Engine!G$48,Engine!G$49,IF(INDEX('Tabella Pesi'!$A$1:$Q$16,_xlfn.XMATCH(B7,'Tabella Pesi'!$B$1:$B$16),COLUMN('Tabella Pesi'!$D$1))=Engine!H$48,Engine!H$49,Engine!$J$49)))</f>
        <v>1</v>
      </c>
      <c r="E7" s="8">
        <f>IF(C7="","",IF(C7=Engine!$B$27,"N/A",IF(C7=Engine!$B$24,1,IF(C7=Engine!$B$25,0.5,0))))</f>
        <v>0</v>
      </c>
      <c r="F7" s="730"/>
      <c r="R7" s="123"/>
      <c r="AC7"/>
      <c r="AD7"/>
      <c r="AE7"/>
      <c r="AF7"/>
      <c r="AG7"/>
      <c r="AH7"/>
      <c r="AI7"/>
      <c r="AJ7"/>
      <c r="AK7"/>
      <c r="AL7"/>
      <c r="AM7"/>
      <c r="AN7"/>
      <c r="AO7"/>
      <c r="AP7"/>
    </row>
    <row r="8" spans="1:42" ht="15.5" x14ac:dyDescent="0.35">
      <c r="A8" s="193">
        <f>IF(OR('Tabella Pesi'!D7=Engine!$G$48,'Tabella Pesi'!D7=Engine!$H$48,'Tabella Pesi'!D7=Engine!$J$48),1,0)</f>
        <v>1</v>
      </c>
      <c r="B8" s="132" t="str" cm="1">
        <f t="array" ref="B8">IFERROR(INDEX('Tabella Pesi'!$B$2:$B$16, SMALL(IF(1=$A$3:$A$17, ROW('Tabella Pesi'!$B$2:$B$16)-1,""), ROW()-2)),"")</f>
        <v>Tutti i software in uso (inclusi i firmware) sono aggiornati all’ultima versione consigliata dal produttore. I dispositivi o i software obsoleti e non più aggiornabili sono dismessi.</v>
      </c>
      <c r="C8" s="196">
        <f>IF(B8="","",_xlfn.XLOOKUP(B8,'Val. Maturità'!$B$4:$B$18,'Val. Maturità'!$C$4:$C$18))</f>
        <v>0</v>
      </c>
      <c r="D8" s="3" cm="1">
        <f t="array" ref="D8">IF(B8="","",IF(INDEX('Tabella Pesi'!$A$1:$Q$16,_xlfn.XMATCH(B8,'Tabella Pesi'!$B$1:$B$16),COLUMN('Tabella Pesi'!$D$1))=Engine!G$48,Engine!G$49,IF(INDEX('Tabella Pesi'!$A$1:$Q$16,_xlfn.XMATCH(B8,'Tabella Pesi'!$B$1:$B$16),COLUMN('Tabella Pesi'!$D$1))=Engine!H$48,Engine!H$49,Engine!$J$49)))</f>
        <v>1</v>
      </c>
      <c r="E8" s="8">
        <f>IF(C8="","",IF(C8=Engine!$B$27,"N/A",IF(C8=Engine!$B$24,1,IF(C8=Engine!$B$25,0.5,0))))</f>
        <v>0</v>
      </c>
      <c r="F8" s="730"/>
      <c r="R8" s="123"/>
      <c r="AC8"/>
      <c r="AD8"/>
      <c r="AE8"/>
      <c r="AF8"/>
      <c r="AG8"/>
      <c r="AH8"/>
      <c r="AI8"/>
      <c r="AJ8"/>
      <c r="AK8"/>
      <c r="AL8"/>
      <c r="AM8"/>
      <c r="AN8"/>
      <c r="AO8"/>
      <c r="AP8"/>
    </row>
    <row r="9" spans="1:42" ht="15.5" x14ac:dyDescent="0.35">
      <c r="A9" s="193">
        <f>IF(OR('Tabella Pesi'!D8=Engine!$G$48,'Tabella Pesi'!D8=Engine!$H$48,'Tabella Pesi'!D8=Engine!$J$48),1,0)</f>
        <v>0</v>
      </c>
      <c r="B9" s="132" t="str" cm="1">
        <f t="array" ref="B9">IFERROR(INDEX('Tabella Pesi'!$B$2:$B$16, SMALL(IF(1=$A$3:$A$17, ROW('Tabella Pesi'!$B$2:$B$16)-1,""), ROW()-2)),"")</f>
        <v/>
      </c>
      <c r="C9" s="196" t="str">
        <f>IF(B9="","",_xlfn.XLOOKUP(B9,'Val. Maturità'!$B$4:$B$18,'Val. Maturità'!$C$4:$C$18))</f>
        <v/>
      </c>
      <c r="D9" s="3" t="str" cm="1">
        <f t="array" ref="D9">IF(B9="","",IF(INDEX('Tabella Pesi'!$A$1:$Q$16,_xlfn.XMATCH(B9,'Tabella Pesi'!$B$1:$B$16),COLUMN('Tabella Pesi'!$D$1))=Engine!G$48,Engine!G$49,IF(INDEX('Tabella Pesi'!$A$1:$Q$16,_xlfn.XMATCH(B9,'Tabella Pesi'!$B$1:$B$16),COLUMN('Tabella Pesi'!$D$1))=Engine!H$48,Engine!H$49,Engine!$J$49)))</f>
        <v/>
      </c>
      <c r="E9" s="8" t="str">
        <f>IF(C9="","",IF(C9=Engine!$B$27,"N/A",IF(C9=Engine!$B$24,1,IF(C9=Engine!$B$25,0.5,0))))</f>
        <v/>
      </c>
      <c r="F9" s="730"/>
      <c r="R9" s="123"/>
      <c r="AC9"/>
      <c r="AD9"/>
      <c r="AE9"/>
      <c r="AF9"/>
      <c r="AG9"/>
      <c r="AH9"/>
      <c r="AI9"/>
      <c r="AJ9"/>
      <c r="AK9"/>
      <c r="AL9"/>
      <c r="AM9"/>
      <c r="AN9"/>
      <c r="AO9"/>
      <c r="AP9"/>
    </row>
    <row r="10" spans="1:42" ht="15.5" x14ac:dyDescent="0.35">
      <c r="A10" s="193">
        <f>IF(OR('Tabella Pesi'!D9=Engine!$G$48,'Tabella Pesi'!D9=Engine!$H$48,'Tabella Pesi'!D9=Engine!$J$48),1,0)</f>
        <v>0</v>
      </c>
      <c r="B10" s="132" t="str" cm="1">
        <f t="array" ref="B10">IFERROR(INDEX('Tabella Pesi'!$B$2:$B$16, SMALL(IF(1=$A$3:$A$17, ROW('Tabella Pesi'!$B$2:$B$16)-1,""), ROW()-2)),"")</f>
        <v/>
      </c>
      <c r="C10" s="196" t="str">
        <f>IF(B10="","",_xlfn.XLOOKUP(B10,'Val. Maturità'!$B$4:$B$18,'Val. Maturità'!$C$4:$C$18))</f>
        <v/>
      </c>
      <c r="D10" s="3" t="str" cm="1">
        <f t="array" ref="D10">IF(B10="","",IF(INDEX('Tabella Pesi'!$A$1:$Q$16,_xlfn.XMATCH(B10,'Tabella Pesi'!$B$1:$B$16),COLUMN('Tabella Pesi'!$D$1))=Engine!G$48,Engine!G$49,IF(INDEX('Tabella Pesi'!$A$1:$Q$16,_xlfn.XMATCH(B10,'Tabella Pesi'!$B$1:$B$16),COLUMN('Tabella Pesi'!$D$1))=Engine!H$48,Engine!H$49,Engine!$J$49)))</f>
        <v/>
      </c>
      <c r="E10" s="8" t="str">
        <f>IF(C10="","",IF(C10=Engine!$B$27,"N/A",IF(C10=Engine!$B$24,1,IF(C10=Engine!$B$25,0.5,0))))</f>
        <v/>
      </c>
      <c r="F10" s="730"/>
      <c r="R10" s="123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</row>
    <row r="11" spans="1:42" ht="15.5" x14ac:dyDescent="0.35">
      <c r="A11" s="193">
        <f>IF(OR('Tabella Pesi'!D10=Engine!$G$48,'Tabella Pesi'!D10=Engine!$H$48,'Tabella Pesi'!D10=Engine!$J$48),1,0)</f>
        <v>0</v>
      </c>
      <c r="B11" s="132" t="str" cm="1">
        <f t="array" ref="B11">IFERROR(INDEX('Tabella Pesi'!$B$2:$B$16, SMALL(IF(1=$A$3:$A$17, ROW('Tabella Pesi'!$B$2:$B$16)-1,""), ROW()-2)),"")</f>
        <v/>
      </c>
      <c r="C11" s="196" t="str">
        <f>IF(B11="","",_xlfn.XLOOKUP(B11,'Val. Maturità'!$B$4:$B$18,'Val. Maturità'!$C$4:$C$18))</f>
        <v/>
      </c>
      <c r="D11" s="3" t="str" cm="1">
        <f t="array" ref="D11">IF(B11="","",IF(INDEX('Tabella Pesi'!$A$1:$Q$16,_xlfn.XMATCH(B11,'Tabella Pesi'!$B$1:$B$16),COLUMN('Tabella Pesi'!$D$1))=Engine!G$48,Engine!G$49,IF(INDEX('Tabella Pesi'!$A$1:$Q$16,_xlfn.XMATCH(B11,'Tabella Pesi'!$B$1:$B$16),COLUMN('Tabella Pesi'!$D$1))=Engine!H$48,Engine!H$49,Engine!$J$49)))</f>
        <v/>
      </c>
      <c r="E11" s="8" t="str">
        <f>IF(C11="","",IF(C11=Engine!$B$27,"N/A",IF(C11=Engine!$B$24,1,IF(C11=Engine!$B$25,0.5,0))))</f>
        <v/>
      </c>
      <c r="F11" s="730"/>
      <c r="R11" s="123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</row>
    <row r="12" spans="1:42" ht="15.5" x14ac:dyDescent="0.35">
      <c r="A12" s="193">
        <f>IF(OR('Tabella Pesi'!D11=Engine!$G$48,'Tabella Pesi'!D11=Engine!$H$48,'Tabella Pesi'!D11=Engine!$J$48),1,0)</f>
        <v>1</v>
      </c>
      <c r="B12" s="132" t="str" cm="1">
        <f t="array" ref="B12">IFERROR(INDEX('Tabella Pesi'!$B$2:$B$16, SMALL(IF(1=$A$3:$A$17, ROW('Tabella Pesi'!$B$2:$B$16)-1,""), ROW()-2)),"")</f>
        <v/>
      </c>
      <c r="C12" s="196" t="str">
        <f>IF(B12="","",_xlfn.XLOOKUP(B12,'Val. Maturità'!$B$4:$B$18,'Val. Maturità'!$C$4:$C$18))</f>
        <v/>
      </c>
      <c r="D12" s="3" t="str" cm="1">
        <f t="array" ref="D12">IF(B12="","",IF(INDEX('Tabella Pesi'!$A$1:$Q$16,_xlfn.XMATCH(B12,'Tabella Pesi'!$B$1:$B$16),COLUMN('Tabella Pesi'!$D$1))=Engine!G$48,Engine!G$49,IF(INDEX('Tabella Pesi'!$A$1:$Q$16,_xlfn.XMATCH(B12,'Tabella Pesi'!$B$1:$B$16),COLUMN('Tabella Pesi'!$D$1))=Engine!H$48,Engine!H$49,Engine!$J$49)))</f>
        <v/>
      </c>
      <c r="E12" s="8" t="str">
        <f>IF(C12="","",IF(C12=Engine!$B$27,"N/A",IF(C12=Engine!$B$24,1,IF(C12=Engine!$B$25,0.5,0))))</f>
        <v/>
      </c>
      <c r="F12" s="730"/>
      <c r="R12" s="123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</row>
    <row r="13" spans="1:42" ht="15.5" x14ac:dyDescent="0.35">
      <c r="A13" s="193">
        <f>IF(OR('Tabella Pesi'!D12=Engine!$G$48,'Tabella Pesi'!D12=Engine!$H$48,'Tabella Pesi'!D12=Engine!$J$48),1,0)</f>
        <v>1</v>
      </c>
      <c r="B13" s="132" t="str" cm="1">
        <f t="array" ref="B13">IFERROR(INDEX('Tabella Pesi'!$B$2:$B$16, SMALL(IF(1=$A$3:$A$17, ROW('Tabella Pesi'!$B$2:$B$16)-1,""), ROW()-2)),"")</f>
        <v/>
      </c>
      <c r="C13" s="196" t="str">
        <f>IF(B13="","",_xlfn.XLOOKUP(B13,'Val. Maturità'!$B$4:$B$18,'Val. Maturità'!$C$4:$C$18))</f>
        <v/>
      </c>
      <c r="D13" s="3" t="str" cm="1">
        <f t="array" ref="D13">IF(B13="","",IF(INDEX('Tabella Pesi'!$A$1:$Q$16,_xlfn.XMATCH(B13,'Tabella Pesi'!$B$1:$B$16),COLUMN('Tabella Pesi'!$D$1))=Engine!G$48,Engine!G$49,IF(INDEX('Tabella Pesi'!$A$1:$Q$16,_xlfn.XMATCH(B13,'Tabella Pesi'!$B$1:$B$16),COLUMN('Tabella Pesi'!$D$1))=Engine!H$48,Engine!H$49,Engine!$J$49)))</f>
        <v/>
      </c>
      <c r="E13" s="8" t="str">
        <f>IF(C13="","",IF(C13=Engine!$B$27,"N/A",IF(C13=Engine!$B$24,1,IF(C13=Engine!$B$25,0.5,0))))</f>
        <v/>
      </c>
      <c r="F13" s="730"/>
      <c r="R13" s="12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</row>
    <row r="14" spans="1:42" ht="15.5" x14ac:dyDescent="0.35">
      <c r="A14" s="193">
        <f>IF(OR('Tabella Pesi'!D13=Engine!$G$48,'Tabella Pesi'!D13=Engine!$H$48,'Tabella Pesi'!D13=Engine!$J$48),1,0)</f>
        <v>0</v>
      </c>
      <c r="B14" s="132" t="str" cm="1">
        <f t="array" ref="B14">IFERROR(INDEX('Tabella Pesi'!$B$2:$B$16, SMALL(IF(1=$A$3:$A$17, ROW('Tabella Pesi'!$B$2:$B$16)-1,""), ROW()-2)),"")</f>
        <v/>
      </c>
      <c r="C14" s="196" t="str">
        <f>IF(B14="","",_xlfn.XLOOKUP(B14,'Val. Maturità'!$B$4:$B$18,'Val. Maturità'!$C$4:$C$18))</f>
        <v/>
      </c>
      <c r="D14" s="3" t="str" cm="1">
        <f t="array" ref="D14">IF(B14="","",IF(INDEX('Tabella Pesi'!$A$1:$Q$16,_xlfn.XMATCH(B14,'Tabella Pesi'!$B$1:$B$16),COLUMN('Tabella Pesi'!$D$1))=Engine!G$48,Engine!G$49,IF(INDEX('Tabella Pesi'!$A$1:$Q$16,_xlfn.XMATCH(B14,'Tabella Pesi'!$B$1:$B$16),COLUMN('Tabella Pesi'!$D$1))=Engine!H$48,Engine!H$49,Engine!$J$49)))</f>
        <v/>
      </c>
      <c r="E14" s="8" t="str">
        <f>IF(C14="","",IF(C14=Engine!$B$27,"N/A",IF(C14=Engine!$B$24,1,IF(C14=Engine!$B$25,0.5,0))))</f>
        <v/>
      </c>
      <c r="F14" s="730"/>
      <c r="R14" s="123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</row>
    <row r="15" spans="1:42" ht="15.5" x14ac:dyDescent="0.35">
      <c r="A15" s="193">
        <f>IF(OR('Tabella Pesi'!D14=Engine!$G$48,'Tabella Pesi'!D14=Engine!$H$48,'Tabella Pesi'!D14=Engine!$J$48),1,0)</f>
        <v>0</v>
      </c>
      <c r="B15" s="132" t="str" cm="1">
        <f t="array" ref="B15">IFERROR(INDEX('Tabella Pesi'!$B$2:$B$16, SMALL(IF(1=$A$3:$A$17, ROW('Tabella Pesi'!$B$2:$B$16)-1,""), ROW()-2)),"")</f>
        <v/>
      </c>
      <c r="C15" s="196" t="str">
        <f>IF(B15="","",_xlfn.XLOOKUP(B15,'Val. Maturità'!$B$4:$B$18,'Val. Maturità'!$C$4:$C$18))</f>
        <v/>
      </c>
      <c r="D15" s="3" t="str" cm="1">
        <f t="array" ref="D15">IF(B15="","",IF(INDEX('Tabella Pesi'!$A$1:$Q$16,_xlfn.XMATCH(B15,'Tabella Pesi'!$B$1:$B$16),COLUMN('Tabella Pesi'!$D$1))=Engine!G$48,Engine!G$49,IF(INDEX('Tabella Pesi'!$A$1:$Q$16,_xlfn.XMATCH(B15,'Tabella Pesi'!$B$1:$B$16),COLUMN('Tabella Pesi'!$D$1))=Engine!H$48,Engine!H$49,Engine!$J$49)))</f>
        <v/>
      </c>
      <c r="E15" s="8" t="str">
        <f>IF(C15="","",IF(C15=Engine!$B$27,"N/A",IF(C15=Engine!$B$24,1,IF(C15=Engine!$B$25,0.5,0))))</f>
        <v/>
      </c>
      <c r="F15" s="730"/>
      <c r="R15" s="123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</row>
    <row r="16" spans="1:42" ht="15.5" x14ac:dyDescent="0.35">
      <c r="A16" s="193">
        <f>IF(OR('Tabella Pesi'!D15=Engine!$G$48,'Tabella Pesi'!D15=Engine!$H$48,'Tabella Pesi'!D15=Engine!$J$48),1,0)</f>
        <v>0</v>
      </c>
      <c r="B16" s="132" t="str" cm="1">
        <f t="array" ref="B16">IFERROR(INDEX('Tabella Pesi'!$B$2:$B$16, SMALL(IF(1=$A$3:$A$17, ROW('Tabella Pesi'!$B$2:$B$16)-1,""), ROW()-2)),"")</f>
        <v/>
      </c>
      <c r="C16" s="196" t="str">
        <f>IF(B16="","",_xlfn.XLOOKUP(B16,'Val. Maturità'!$B$4:$B$18,'Val. Maturità'!$C$4:$C$18))</f>
        <v/>
      </c>
      <c r="D16" s="3" t="str" cm="1">
        <f t="array" ref="D16">IF(B16="","",IF(INDEX('Tabella Pesi'!$A$1:$Q$16,_xlfn.XMATCH(B16,'Tabella Pesi'!$B$1:$B$16),COLUMN('Tabella Pesi'!$D$1))=Engine!G$48,Engine!G$49,IF(INDEX('Tabella Pesi'!$A$1:$Q$16,_xlfn.XMATCH(B16,'Tabella Pesi'!$B$1:$B$16),COLUMN('Tabella Pesi'!$D$1))=Engine!H$48,Engine!H$49,Engine!$J$49)))</f>
        <v/>
      </c>
      <c r="E16" s="8" t="str">
        <f>IF(C16="","",IF(C16=Engine!$B$27,"N/A",IF(C16=Engine!$B$24,1,IF(C16=Engine!$B$25,0.5,0))))</f>
        <v/>
      </c>
      <c r="F16" s="730"/>
      <c r="R16" s="123"/>
      <c r="AC16"/>
      <c r="AD16"/>
      <c r="AE16"/>
      <c r="AF16"/>
      <c r="AG16"/>
      <c r="AH16"/>
      <c r="AI16"/>
      <c r="AJ16"/>
      <c r="AK16"/>
      <c r="AL16" s="254"/>
      <c r="AM16"/>
      <c r="AN16"/>
      <c r="AO16"/>
      <c r="AP16"/>
    </row>
    <row r="17" spans="1:45" ht="16" thickBot="1" x14ac:dyDescent="0.4">
      <c r="A17" s="194">
        <f>IF(OR('Tabella Pesi'!D16=Engine!$G$48,'Tabella Pesi'!D16=Engine!$H$48,'Tabella Pesi'!D16=Engine!$J$48),1,0)</f>
        <v>1</v>
      </c>
      <c r="B17" s="133" t="str" cm="1">
        <f t="array" ref="B17">IFERROR(INDEX('Tabella Pesi'!$B$2:$B$16, SMALL(IF(1=$A$3:$A$17, ROW('Tabella Pesi'!$B$2:$B$16)-1,""), ROW()-2)),"")</f>
        <v/>
      </c>
      <c r="C17" s="197" t="str">
        <f>IF(B17="","",_xlfn.XLOOKUP(B17,'Val. Maturità'!$B$4:$B$18,'Val. Maturità'!$C$4:$C$18))</f>
        <v/>
      </c>
      <c r="D17" s="190" t="str" cm="1">
        <f t="array" ref="D17">IF(B17="","",IF(INDEX('Tabella Pesi'!$A$1:$Q$16,_xlfn.XMATCH(B17,'Tabella Pesi'!$B$1:$B$16),COLUMN('Tabella Pesi'!$D$1))=Engine!G$48,Engine!G$49,IF(INDEX('Tabella Pesi'!$A$1:$Q$16,_xlfn.XMATCH(B17,'Tabella Pesi'!$B$1:$B$16),COLUMN('Tabella Pesi'!$D$1))=Engine!H$48,Engine!H$49,Engine!$J$49)))</f>
        <v/>
      </c>
      <c r="E17" s="191" t="str">
        <f>IF(C17="","",IF(C17=Engine!$B$27,"N/A",IF(C17=Engine!$B$24,1,IF(C17=Engine!$B$25,0.5,0))))</f>
        <v/>
      </c>
      <c r="F17" s="731"/>
      <c r="R17" s="123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</row>
    <row r="18" spans="1:45" ht="15" thickBot="1" x14ac:dyDescent="0.4">
      <c r="A18" s="124"/>
      <c r="B18" s="125"/>
      <c r="C18" s="126"/>
      <c r="D18" s="126"/>
      <c r="E18" s="126"/>
      <c r="F18" s="125"/>
      <c r="G18" s="125"/>
      <c r="H18" s="125"/>
      <c r="I18" s="125"/>
      <c r="J18" s="125"/>
      <c r="K18" s="125"/>
      <c r="L18" s="125"/>
      <c r="M18" s="125"/>
      <c r="N18" s="125"/>
      <c r="O18" s="125"/>
      <c r="P18" s="125"/>
      <c r="Q18" s="125"/>
      <c r="R18" s="127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</row>
    <row r="19" spans="1:45" x14ac:dyDescent="0.35"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</row>
    <row r="20" spans="1:45" x14ac:dyDescent="0.35"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</row>
    <row r="21" spans="1:45" x14ac:dyDescent="0.35"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</row>
    <row r="22" spans="1:45" x14ac:dyDescent="0.35"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</row>
    <row r="23" spans="1:45" x14ac:dyDescent="0.35"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</row>
    <row r="24" spans="1:45" x14ac:dyDescent="0.35"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</row>
    <row r="25" spans="1:45" x14ac:dyDescent="0.35"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</row>
    <row r="26" spans="1:45" x14ac:dyDescent="0.35"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</row>
    <row r="27" spans="1:45" x14ac:dyDescent="0.35"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</row>
    <row r="28" spans="1:45" x14ac:dyDescent="0.35"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</row>
    <row r="29" spans="1:45" x14ac:dyDescent="0.35"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</row>
    <row r="30" spans="1:45" x14ac:dyDescent="0.35"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</row>
    <row r="31" spans="1:45" x14ac:dyDescent="0.35"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</row>
    <row r="32" spans="1:45" x14ac:dyDescent="0.35"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</row>
    <row r="33" spans="32:45" x14ac:dyDescent="0.35"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</row>
    <row r="34" spans="32:45" x14ac:dyDescent="0.35"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</row>
    <row r="35" spans="32:45" x14ac:dyDescent="0.35"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</row>
    <row r="36" spans="32:45" x14ac:dyDescent="0.35"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</row>
    <row r="37" spans="32:45" x14ac:dyDescent="0.35"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</row>
    <row r="38" spans="32:45" x14ac:dyDescent="0.35"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</row>
    <row r="39" spans="32:45" x14ac:dyDescent="0.35"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</row>
    <row r="40" spans="32:45" x14ac:dyDescent="0.35"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</row>
    <row r="41" spans="32:45" x14ac:dyDescent="0.35"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</row>
    <row r="42" spans="32:45" x14ac:dyDescent="0.35"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</row>
    <row r="43" spans="32:45" x14ac:dyDescent="0.35"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</row>
    <row r="44" spans="32:45" x14ac:dyDescent="0.35"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</row>
    <row r="45" spans="32:45" x14ac:dyDescent="0.35"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</row>
    <row r="46" spans="32:45" x14ac:dyDescent="0.35"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</row>
    <row r="47" spans="32:45" x14ac:dyDescent="0.35">
      <c r="AF47"/>
      <c r="AG47"/>
      <c r="AH47" s="716"/>
      <c r="AI47" s="716"/>
      <c r="AJ47" s="254"/>
      <c r="AK47"/>
      <c r="AL47"/>
      <c r="AM47"/>
      <c r="AN47"/>
      <c r="AO47"/>
      <c r="AP47"/>
      <c r="AQ47"/>
      <c r="AR47"/>
      <c r="AS47"/>
    </row>
    <row r="48" spans="32:45" x14ac:dyDescent="0.35"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</row>
    <row r="49" spans="32:45" x14ac:dyDescent="0.35"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</row>
    <row r="50" spans="32:45" x14ac:dyDescent="0.35"/>
  </sheetData>
  <sheetProtection algorithmName="SHA-512" hashValue="XZbXhXLXgr36j0FRjKTRXWAYVuFIlhVPfWgQzSFTxdKLPzncic5FF/EspNT9fq/VmWSvqS4ia2QMz+YlxSjdQg==" saltValue="sxrD8MzLaBLOP0oYD9t2LQ==" spinCount="100000" sheet="1" objects="1" scenarios="1" selectLockedCells="1" selectUnlockedCells="1"/>
  <mergeCells count="6">
    <mergeCell ref="A1:R1"/>
    <mergeCell ref="AM2:AO2"/>
    <mergeCell ref="AH47:AI47"/>
    <mergeCell ref="F3:F17"/>
    <mergeCell ref="I5:L5"/>
    <mergeCell ref="I3:L3"/>
  </mergeCells>
  <conditionalFormatting sqref="AM16:AN16">
    <cfRule type="colorScale" priority="2">
      <colorScale>
        <cfvo type="num" val="0"/>
        <cfvo type="num" val="0.5"/>
        <cfvo type="num" val="1"/>
        <color rgb="FF00B050"/>
        <color rgb="FFFFEB84"/>
        <color theme="5"/>
      </colorScale>
    </cfRule>
  </conditionalFormatting>
  <dataValidations count="1">
    <dataValidation type="list" allowBlank="1" showInputMessage="1" showErrorMessage="1" sqref="P3" xr:uid="{53FE45CE-07BE-4BD9-B292-503CBAFD9736}">
      <formula1>"0,1,2,3,4,5,6,7,8,9,10"</formula1>
    </dataValidation>
  </dataValidation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0C2953AB-590F-4F3F-BEFC-A1DAFAD93C56}">
            <xm:f>COUNTA(B3:B17)-COUNTIFS(B3:B17,"")&lt;&gt;'Tabella Pesi'!$D$17</xm:f>
            <x14:dxf>
              <font>
                <color rgb="FFFF0000"/>
              </font>
              <fill>
                <patternFill>
                  <bgColor rgb="FFFF0000"/>
                </patternFill>
              </fill>
            </x14:dxf>
          </x14:cfRule>
          <xm:sqref>B2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5704D1-F40B-465E-9C14-09087253BC08}">
  <sheetPr codeName="Foglio7">
    <tabColor theme="8"/>
  </sheetPr>
  <dimension ref="A1:AS51"/>
  <sheetViews>
    <sheetView showGridLines="0" topLeftCell="B1" zoomScale="60" zoomScaleNormal="60" workbookViewId="0">
      <selection activeCell="B1" sqref="A1:XFD1048576"/>
    </sheetView>
  </sheetViews>
  <sheetFormatPr defaultColWidth="0" defaultRowHeight="15.5" outlineLevelCol="1" x14ac:dyDescent="0.35"/>
  <cols>
    <col min="1" max="1" width="3.81640625" style="22" hidden="1" customWidth="1" outlineLevel="1"/>
    <col min="2" max="2" width="77.54296875" style="18" customWidth="1" collapsed="1"/>
    <col min="3" max="3" width="8.6328125" style="22" customWidth="1"/>
    <col min="4" max="5" width="8.6328125" style="18" hidden="1" customWidth="1" outlineLevel="1"/>
    <col min="6" max="6" width="8.6328125" style="18" customWidth="1" collapsed="1"/>
    <col min="7" max="21" width="8.6328125" style="18" customWidth="1"/>
    <col min="22" max="33" width="5.81640625" style="18" customWidth="1"/>
    <col min="34" max="34" width="8.453125" style="18" customWidth="1"/>
    <col min="35" max="45" width="5.81640625" style="18" customWidth="1"/>
    <col min="46" max="16384" width="5.81640625" style="18" hidden="1"/>
  </cols>
  <sheetData>
    <row r="1" spans="1:45" ht="40" customHeight="1" thickBot="1" x14ac:dyDescent="0.4">
      <c r="A1" s="735" t="s">
        <v>36</v>
      </c>
      <c r="B1" s="736"/>
      <c r="C1" s="736"/>
      <c r="D1" s="736"/>
      <c r="E1" s="736"/>
      <c r="F1" s="736"/>
      <c r="G1" s="736"/>
      <c r="H1" s="736"/>
      <c r="I1" s="736"/>
      <c r="J1" s="736"/>
      <c r="K1" s="736"/>
      <c r="L1" s="736"/>
      <c r="M1" s="736"/>
      <c r="N1" s="736"/>
      <c r="O1" s="736"/>
      <c r="P1" s="736"/>
      <c r="Q1" s="736"/>
      <c r="R1" s="737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</row>
    <row r="2" spans="1:45" ht="16" thickBot="1" x14ac:dyDescent="0.4">
      <c r="A2" s="134"/>
      <c r="L2"/>
      <c r="M2"/>
      <c r="N2"/>
      <c r="O2"/>
      <c r="R2" s="135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</row>
    <row r="3" spans="1:45" ht="39" customHeight="1" thickBot="1" x14ac:dyDescent="0.4">
      <c r="A3" s="118">
        <f>IF(OR('Tabella Pesi'!E2=Engine!$G$48,'Tabella Pesi'!E2=Engine!$H$48,'Tabella Pesi'!E2=Engine!$J$48),1,0)</f>
        <v>0</v>
      </c>
      <c r="B3" s="131" t="str" cm="1">
        <f t="array" ref="B3">IFERROR(INDEX('Tabella Pesi'!$B$2:$B$16, SMALL(IF(1=$A$3:$A$17, ROW('Tabella Pesi'!$B$2:$B$16)-1,""), ROW()-2)),"")</f>
        <v>I servizi web (social network, cloud computing, posta elettronica, spazio web, ecc.) offerti da terze parti a cui si è registrati sono quelli strettamente necessari.</v>
      </c>
      <c r="C3" s="163">
        <f>IF(B3="","",_xlfn.XLOOKUP(B3,'Val. Maturità'!$B$4:$B$18,'Val. Maturità'!$C$4:$C$18))</f>
        <v>0</v>
      </c>
      <c r="D3" s="24" cm="1">
        <f t="array" ref="D3">IF(B3="","",IF(INDEX('Tabella Pesi'!$A$1:$Q$16,_xlfn.XMATCH(B3,'Tabella Pesi'!$B$1:$B$16),COLUMN('Tabella Pesi'!$E$1))=Engine!G$48,Engine!G$49,IF(INDEX('Tabella Pesi'!$A$1:$Q$16,_xlfn.XMATCH(B3,'Tabella Pesi'!$B$1:$B$16),COLUMN('Tabella Pesi'!$E$1))=Engine!H$48,Engine!H$49,Engine!$J$49)))</f>
        <v>1</v>
      </c>
      <c r="E3" s="277">
        <f>IF(C3="","",IF(C3=Engine!$B$27,"N/A",IF(C3=Engine!$B$24,1,IF(C3=Engine!$B$25,0.5,0))))</f>
        <v>0</v>
      </c>
      <c r="F3" s="732" cm="1">
        <f t="array" ref="F3">(SUMPRODUCT(--(E3:E17&lt;&gt;"N/A"),E3:E17,D3:D17)/SUMIF(E3:E17,"&lt;&gt;N/A",D3:D17))*10</f>
        <v>0</v>
      </c>
      <c r="H3" s="20"/>
      <c r="I3" s="723" t="s">
        <v>296</v>
      </c>
      <c r="J3" s="724"/>
      <c r="K3" s="724"/>
      <c r="L3" s="725"/>
      <c r="M3" s="115" t="e">
        <f>Engine!$H$58+((Engine!$D$57-Engine!$H$58)/(1+Engine!$D$58*EXP(-Engine!$H$57*(F3-Engine!$F$57)))^(1/Engine!$F$58))</f>
        <v>#VALUE!</v>
      </c>
      <c r="N3"/>
      <c r="O3"/>
      <c r="P3" s="20"/>
      <c r="Q3" s="20"/>
      <c r="R3" s="135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</row>
    <row r="4" spans="1:45" ht="48" customHeight="1" thickBot="1" x14ac:dyDescent="0.4">
      <c r="A4" s="119">
        <f>IF(OR('Tabella Pesi'!E3=Engine!$G$48,'Tabella Pesi'!E3=Engine!$H$48,'Tabella Pesi'!E3=Engine!$J$48),1,0)</f>
        <v>1</v>
      </c>
      <c r="B4" s="132" t="str" cm="1">
        <f t="array" ref="B4">IFERROR(INDEX('Tabella Pesi'!$B$2:$B$16, SMALL(IF(1=$A$3:$A$17, ROW('Tabella Pesi'!$B$2:$B$16)-1,""), ROW()-2)),"")</f>
        <v>Sono identificate e rispettate le leggi e/o i regolamenti con rilevanza in tema di cybersecurity che risultino applicabili per l’azienda.</v>
      </c>
      <c r="C4" s="164">
        <f>IF(B4="","",_xlfn.XLOOKUP(B4,'Val. Maturità'!$B$4:$B$18,'Val. Maturità'!$C$4:$C$18))</f>
        <v>0</v>
      </c>
      <c r="D4" s="25" cm="1">
        <f t="array" ref="D4">IF(B4="","",IF(INDEX('Tabella Pesi'!$A$1:$Q$16,_xlfn.XMATCH(B4,'Tabella Pesi'!$B$1:$B$16),COLUMN('Tabella Pesi'!$E$1))=Engine!G$48,Engine!G$49,IF(INDEX('Tabella Pesi'!$A$1:$Q$16,_xlfn.XMATCH(B4,'Tabella Pesi'!$B$1:$B$16),COLUMN('Tabella Pesi'!$E$1))=Engine!H$48,Engine!H$49,Engine!$J$49)))</f>
        <v>1</v>
      </c>
      <c r="E4" s="278">
        <f>IF(C4="","",IF(C4=Engine!$B$27,"N/A",IF(C4=Engine!$B$24,1,IF(C4=Engine!$B$25,0.5,0))))</f>
        <v>0</v>
      </c>
      <c r="F4" s="733"/>
      <c r="H4" s="20"/>
      <c r="I4" s="20"/>
      <c r="J4" s="20"/>
      <c r="K4" s="20"/>
      <c r="L4" s="20"/>
      <c r="M4" s="20"/>
      <c r="N4" s="20"/>
      <c r="O4" s="20"/>
      <c r="P4" s="20"/>
      <c r="Q4" s="20"/>
      <c r="R4" s="135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</row>
    <row r="5" spans="1:45" ht="61.5" customHeight="1" thickBot="1" x14ac:dyDescent="0.4">
      <c r="A5" s="119">
        <f>IF(OR('Tabella Pesi'!E4=Engine!$G$48,'Tabella Pesi'!E4=Engine!$H$48,'Tabella Pesi'!E4=Engine!$J$48),1,0)</f>
        <v>0</v>
      </c>
      <c r="B5" s="132" t="str" cm="1">
        <f t="array" ref="B5">IFERROR(INDEX('Tabella Pesi'!$B$2:$B$16, SMALL(IF(1=$A$3:$A$17, ROW('Tabella Pesi'!$B$2:$B$16)-1,""), ROW()-2)),"")</f>
        <v>Tutti i dispositivi che lo consentono sono dotati di software di protezione (antivirus, antimalware, ecc...) regolarmente aggiornato.</v>
      </c>
      <c r="C5" s="164">
        <f>IF(B5="","",_xlfn.XLOOKUP(B5,'Val. Maturità'!$B$4:$B$18,'Val. Maturità'!$C$4:$C$18))</f>
        <v>0</v>
      </c>
      <c r="D5" s="25" cm="1">
        <f t="array" ref="D5">IF(B5="","",IF(INDEX('Tabella Pesi'!$A$1:$Q$16,_xlfn.XMATCH(B5,'Tabella Pesi'!$B$1:$B$16),COLUMN('Tabella Pesi'!$E$1))=Engine!G$48,Engine!G$49,IF(INDEX('Tabella Pesi'!$A$1:$Q$16,_xlfn.XMATCH(B5,'Tabella Pesi'!$B$1:$B$16),COLUMN('Tabella Pesi'!$E$1))=Engine!H$48,Engine!H$49,Engine!$J$49)))</f>
        <v>1</v>
      </c>
      <c r="E5" s="278">
        <f>IF(C5="","",IF(C5=Engine!$B$27,"N/A",IF(C5=Engine!$B$24,1,IF(C5=Engine!$B$25,0.5,0))))</f>
        <v>0</v>
      </c>
      <c r="F5" s="733"/>
      <c r="H5" s="20"/>
      <c r="I5" s="720" t="s">
        <v>88</v>
      </c>
      <c r="J5" s="721"/>
      <c r="K5" s="721"/>
      <c r="L5" s="722"/>
      <c r="M5" s="255" t="e">
        <f>M3*'Val. Maturità'!Q5</f>
        <v>#VALUE!</v>
      </c>
      <c r="N5" s="20"/>
      <c r="O5"/>
      <c r="P5"/>
      <c r="Q5" s="20"/>
      <c r="R5" s="13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</row>
    <row r="6" spans="1:45" ht="96" customHeight="1" x14ac:dyDescent="0.35">
      <c r="A6" s="119">
        <f>IF(OR('Tabella Pesi'!E5=Engine!$G$48,'Tabella Pesi'!E5=Engine!$H$48,'Tabella Pesi'!E5=Engine!$J$48),1,0)</f>
        <v>0</v>
      </c>
      <c r="B6" s="132" t="str" cm="1">
        <f t="array" ref="B6">IFERROR(INDEX('Tabella Pesi'!$B$2:$B$16, SMALL(IF(1=$A$3:$A$17, ROW('Tabella Pesi'!$B$2:$B$16)-1,""), ROW()-2)),"")</f>
        <v>Il personale è adeguatamente sensibilizzato e formato sui rischi di cybersecurity e sulle pratiche da adottare per l’impiego sicuro degli strumenti aziendali (es. riconoscere allegati e-mail, utilizzare solo software autorizzato,...). I vertici aziendali hanno cura di predisporre per tutto il personale aziendale la formazione necessaria a fornire almeno le nozioni basilari di sicurezza.</v>
      </c>
      <c r="C6" s="164">
        <f>IF(B6="","",_xlfn.XLOOKUP(B6,'Val. Maturità'!$B$4:$B$18,'Val. Maturità'!$C$4:$C$18))</f>
        <v>0</v>
      </c>
      <c r="D6" s="25" cm="1">
        <f t="array" ref="D6">IF(B6="","",IF(INDEX('Tabella Pesi'!$A$1:$Q$16,_xlfn.XMATCH(B6,'Tabella Pesi'!$B$1:$B$16),COLUMN('Tabella Pesi'!$E$1))=Engine!G$48,Engine!G$49,IF(INDEX('Tabella Pesi'!$A$1:$Q$16,_xlfn.XMATCH(B6,'Tabella Pesi'!$B$1:$B$16),COLUMN('Tabella Pesi'!$E$1))=Engine!H$48,Engine!H$49,Engine!$J$49)))</f>
        <v>1</v>
      </c>
      <c r="E6" s="278">
        <f>IF(C6="","",IF(C6=Engine!$B$27,"N/A",IF(C6=Engine!$B$24,1,IF(C6=Engine!$B$25,0.5,0))))</f>
        <v>0</v>
      </c>
      <c r="F6" s="733"/>
      <c r="R6" s="135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</row>
    <row r="7" spans="1:45" x14ac:dyDescent="0.35">
      <c r="A7" s="119">
        <f>IF(OR('Tabella Pesi'!E6=Engine!$G$48,'Tabella Pesi'!E6=Engine!$H$48,'Tabella Pesi'!E6=Engine!$J$48),1,0)</f>
        <v>1</v>
      </c>
      <c r="B7" s="132" t="str" cm="1">
        <f t="array" ref="B7">IFERROR(INDEX('Tabella Pesi'!$B$2:$B$16, SMALL(IF(1=$A$3:$A$17, ROW('Tabella Pesi'!$B$2:$B$16)-1,""), ROW()-2)),"")</f>
        <v/>
      </c>
      <c r="C7" s="164" t="str">
        <f>IF(B7="","",_xlfn.XLOOKUP(B7,'Val. Maturità'!$B$4:$B$18,'Val. Maturità'!$C$4:$C$18))</f>
        <v/>
      </c>
      <c r="D7" s="25" t="str" cm="1">
        <f t="array" ref="D7">IF(B7="","",IF(INDEX('Tabella Pesi'!$A$1:$Q$16,_xlfn.XMATCH(B7,'Tabella Pesi'!$B$1:$B$16),COLUMN('Tabella Pesi'!$E$1))=Engine!G$48,Engine!G$49,IF(INDEX('Tabella Pesi'!$A$1:$Q$16,_xlfn.XMATCH(B7,'Tabella Pesi'!$B$1:$B$16),COLUMN('Tabella Pesi'!$E$1))=Engine!H$48,Engine!H$49,Engine!$J$49)))</f>
        <v/>
      </c>
      <c r="E7" s="278" t="str">
        <f>IF(C7="","",IF(C7=Engine!$B$27,"N/A",IF(C7=Engine!$B$24,1,IF(C7=Engine!$B$25,0.5,0))))</f>
        <v/>
      </c>
      <c r="F7" s="733"/>
      <c r="R7" s="135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</row>
    <row r="8" spans="1:45" x14ac:dyDescent="0.35">
      <c r="A8" s="119">
        <f>IF(OR('Tabella Pesi'!E7=Engine!$G$48,'Tabella Pesi'!E7=Engine!$H$48,'Tabella Pesi'!E7=Engine!$J$48),1,0)</f>
        <v>1</v>
      </c>
      <c r="B8" s="132" t="str" cm="1">
        <f t="array" ref="B8">IFERROR(INDEX('Tabella Pesi'!$B$2:$B$16, SMALL(IF(1=$A$3:$A$17, ROW('Tabella Pesi'!$B$2:$B$16)-1,""), ROW()-2)),"")</f>
        <v/>
      </c>
      <c r="C8" s="164" t="str">
        <f>IF(B8="","",_xlfn.XLOOKUP(B8,'Val. Maturità'!$B$4:$B$18,'Val. Maturità'!$C$4:$C$18))</f>
        <v/>
      </c>
      <c r="D8" s="25" t="str" cm="1">
        <f t="array" ref="D8">IF(B8="","",IF(INDEX('Tabella Pesi'!$A$1:$Q$16,_xlfn.XMATCH(B8,'Tabella Pesi'!$B$1:$B$16),COLUMN('Tabella Pesi'!$E$1))=Engine!G$48,Engine!G$49,IF(INDEX('Tabella Pesi'!$A$1:$Q$16,_xlfn.XMATCH(B8,'Tabella Pesi'!$B$1:$B$16),COLUMN('Tabella Pesi'!$E$1))=Engine!H$48,Engine!H$49,Engine!$J$49)))</f>
        <v/>
      </c>
      <c r="E8" s="278" t="str">
        <f>IF(C8="","",IF(C8=Engine!$B$27,"N/A",IF(C8=Engine!$B$24,1,IF(C8=Engine!$B$25,0.5,0))))</f>
        <v/>
      </c>
      <c r="F8" s="733"/>
      <c r="R8" s="135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</row>
    <row r="9" spans="1:45" x14ac:dyDescent="0.35">
      <c r="A9" s="119">
        <f>IF(OR('Tabella Pesi'!E8=Engine!$G$48,'Tabella Pesi'!E8=Engine!$H$48,'Tabella Pesi'!E8=Engine!$J$48),1,0)</f>
        <v>0</v>
      </c>
      <c r="B9" s="132" t="str" cm="1">
        <f t="array" ref="B9">IFERROR(INDEX('Tabella Pesi'!$B$2:$B$16, SMALL(IF(1=$A$3:$A$17, ROW('Tabella Pesi'!$B$2:$B$16)-1,""), ROW()-2)),"")</f>
        <v/>
      </c>
      <c r="C9" s="164" t="str">
        <f>IF(B9="","",_xlfn.XLOOKUP(B9,'Val. Maturità'!$B$4:$B$18,'Val. Maturità'!$C$4:$C$18))</f>
        <v/>
      </c>
      <c r="D9" s="25" t="str" cm="1">
        <f t="array" ref="D9">IF(B9="","",IF(INDEX('Tabella Pesi'!$A$1:$Q$16,_xlfn.XMATCH(B9,'Tabella Pesi'!$B$1:$B$16),COLUMN('Tabella Pesi'!$E$1))=Engine!G$48,Engine!G$49,IF(INDEX('Tabella Pesi'!$A$1:$Q$16,_xlfn.XMATCH(B9,'Tabella Pesi'!$B$1:$B$16),COLUMN('Tabella Pesi'!$E$1))=Engine!H$48,Engine!H$49,Engine!$J$49)))</f>
        <v/>
      </c>
      <c r="E9" s="278" t="str">
        <f>IF(C9="","",IF(C9=Engine!$B$27,"N/A",IF(C9=Engine!$B$24,1,IF(C9=Engine!$B$25,0.5,0))))</f>
        <v/>
      </c>
      <c r="F9" s="733"/>
      <c r="R9" s="135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</row>
    <row r="10" spans="1:45" x14ac:dyDescent="0.35">
      <c r="A10" s="119">
        <f>IF(OR('Tabella Pesi'!E9=Engine!$G$48,'Tabella Pesi'!E9=Engine!$H$48,'Tabella Pesi'!E9=Engine!$J$48),1,0)</f>
        <v>0</v>
      </c>
      <c r="B10" s="132" t="str" cm="1">
        <f t="array" ref="B10">IFERROR(INDEX('Tabella Pesi'!$B$2:$B$16, SMALL(IF(1=$A$3:$A$17, ROW('Tabella Pesi'!$B$2:$B$16)-1,""), ROW()-2)),"")</f>
        <v/>
      </c>
      <c r="C10" s="164" t="str">
        <f>IF(B10="","",_xlfn.XLOOKUP(B10,'Val. Maturità'!$B$4:$B$18,'Val. Maturità'!$C$4:$C$18))</f>
        <v/>
      </c>
      <c r="D10" s="25" t="str" cm="1">
        <f t="array" ref="D10">IF(B10="","",IF(INDEX('Tabella Pesi'!$A$1:$Q$16,_xlfn.XMATCH(B10,'Tabella Pesi'!$B$1:$B$16),COLUMN('Tabella Pesi'!$E$1))=Engine!G$48,Engine!G$49,IF(INDEX('Tabella Pesi'!$A$1:$Q$16,_xlfn.XMATCH(B10,'Tabella Pesi'!$B$1:$B$16),COLUMN('Tabella Pesi'!$E$1))=Engine!H$48,Engine!H$49,Engine!$J$49)))</f>
        <v/>
      </c>
      <c r="E10" s="278" t="str">
        <f>IF(C10="","",IF(C10=Engine!$B$27,"N/A",IF(C10=Engine!$B$24,1,IF(C10=Engine!$B$25,0.5,0))))</f>
        <v/>
      </c>
      <c r="F10" s="733"/>
      <c r="R10" s="135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</row>
    <row r="11" spans="1:45" x14ac:dyDescent="0.35">
      <c r="A11" s="119">
        <f>IF(OR('Tabella Pesi'!E10=Engine!$G$48,'Tabella Pesi'!E10=Engine!$H$48,'Tabella Pesi'!E10=Engine!$J$48),1,0)</f>
        <v>0</v>
      </c>
      <c r="B11" s="132" t="str" cm="1">
        <f t="array" ref="B11">IFERROR(INDEX('Tabella Pesi'!$B$2:$B$16, SMALL(IF(1=$A$3:$A$17, ROW('Tabella Pesi'!$B$2:$B$16)-1,""), ROW()-2)),"")</f>
        <v/>
      </c>
      <c r="C11" s="164" t="str">
        <f>IF(B11="","",_xlfn.XLOOKUP(B11,'Val. Maturità'!$B$4:$B$18,'Val. Maturità'!$C$4:$C$18))</f>
        <v/>
      </c>
      <c r="D11" s="25" t="str" cm="1">
        <f t="array" ref="D11">IF(B11="","",IF(INDEX('Tabella Pesi'!$A$1:$Q$16,_xlfn.XMATCH(B11,'Tabella Pesi'!$B$1:$B$16),COLUMN('Tabella Pesi'!$E$1))=Engine!G$48,Engine!G$49,IF(INDEX('Tabella Pesi'!$A$1:$Q$16,_xlfn.XMATCH(B11,'Tabella Pesi'!$B$1:$B$16),COLUMN('Tabella Pesi'!$E$1))=Engine!H$48,Engine!H$49,Engine!$J$49)))</f>
        <v/>
      </c>
      <c r="E11" s="278" t="str">
        <f>IF(C11="","",IF(C11=Engine!$B$27,"N/A",IF(C11=Engine!$B$24,1,IF(C11=Engine!$B$25,0.5,0))))</f>
        <v/>
      </c>
      <c r="F11" s="733"/>
      <c r="R11" s="135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</row>
    <row r="12" spans="1:45" x14ac:dyDescent="0.35">
      <c r="A12" s="119">
        <f>IF(OR('Tabella Pesi'!E11=Engine!$G$48,'Tabella Pesi'!E11=Engine!$H$48,'Tabella Pesi'!E11=Engine!$J$48),1,0)</f>
        <v>1</v>
      </c>
      <c r="B12" s="132" t="str" cm="1">
        <f t="array" ref="B12">IFERROR(INDEX('Tabella Pesi'!$B$2:$B$16, SMALL(IF(1=$A$3:$A$17, ROW('Tabella Pesi'!$B$2:$B$16)-1,""), ROW()-2)),"")</f>
        <v/>
      </c>
      <c r="C12" s="164" t="str">
        <f>IF(B12="","",_xlfn.XLOOKUP(B12,'Val. Maturità'!$B$4:$B$18,'Val. Maturità'!$C$4:$C$18))</f>
        <v/>
      </c>
      <c r="D12" s="25" t="str" cm="1">
        <f t="array" ref="D12">IF(B12="","",IF(INDEX('Tabella Pesi'!$A$1:$Q$16,_xlfn.XMATCH(B12,'Tabella Pesi'!$B$1:$B$16),COLUMN('Tabella Pesi'!$E$1))=Engine!G$48,Engine!G$49,IF(INDEX('Tabella Pesi'!$A$1:$Q$16,_xlfn.XMATCH(B12,'Tabella Pesi'!$B$1:$B$16),COLUMN('Tabella Pesi'!$E$1))=Engine!H$48,Engine!H$49,Engine!$J$49)))</f>
        <v/>
      </c>
      <c r="E12" s="278" t="str">
        <f>IF(C12="","",IF(C12=Engine!$B$27,"N/A",IF(C12=Engine!$B$24,1,IF(C12=Engine!$B$25,0.5,0))))</f>
        <v/>
      </c>
      <c r="F12" s="733"/>
      <c r="R12" s="135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</row>
    <row r="13" spans="1:45" x14ac:dyDescent="0.35">
      <c r="A13" s="119">
        <f>IF(OR('Tabella Pesi'!E12=Engine!$G$48,'Tabella Pesi'!E12=Engine!$H$48,'Tabella Pesi'!E12=Engine!$J$48),1,0)</f>
        <v>0</v>
      </c>
      <c r="B13" s="132" t="str" cm="1">
        <f t="array" ref="B13">IFERROR(INDEX('Tabella Pesi'!$B$2:$B$16, SMALL(IF(1=$A$3:$A$17, ROW('Tabella Pesi'!$B$2:$B$16)-1,""), ROW()-2)),"")</f>
        <v/>
      </c>
      <c r="C13" s="164" t="str">
        <f>IF(B13="","",_xlfn.XLOOKUP(B13,'Val. Maturità'!$B$4:$B$18,'Val. Maturità'!$C$4:$C$18))</f>
        <v/>
      </c>
      <c r="D13" s="25" t="str" cm="1">
        <f t="array" ref="D13">IF(B13="","",IF(INDEX('Tabella Pesi'!$A$1:$Q$16,_xlfn.XMATCH(B13,'Tabella Pesi'!$B$1:$B$16),COLUMN('Tabella Pesi'!$E$1))=Engine!G$48,Engine!G$49,IF(INDEX('Tabella Pesi'!$A$1:$Q$16,_xlfn.XMATCH(B13,'Tabella Pesi'!$B$1:$B$16),COLUMN('Tabella Pesi'!$E$1))=Engine!H$48,Engine!H$49,Engine!$J$49)))</f>
        <v/>
      </c>
      <c r="E13" s="278" t="str">
        <f>IF(C13="","",IF(C13=Engine!$B$27,"N/A",IF(C13=Engine!$B$24,1,IF(C13=Engine!$B$25,0.5,0))))</f>
        <v/>
      </c>
      <c r="F13" s="733"/>
      <c r="R13" s="135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</row>
    <row r="14" spans="1:45" x14ac:dyDescent="0.35">
      <c r="A14" s="119">
        <f>IF(OR('Tabella Pesi'!E13=Engine!$G$48,'Tabella Pesi'!E13=Engine!$H$48,'Tabella Pesi'!E13=Engine!$J$48),1,0)</f>
        <v>0</v>
      </c>
      <c r="B14" s="132" t="str" cm="1">
        <f t="array" ref="B14">IFERROR(INDEX('Tabella Pesi'!$B$2:$B$16, SMALL(IF(1=$A$3:$A$17, ROW('Tabella Pesi'!$B$2:$B$16)-1,""), ROW()-2)),"")</f>
        <v/>
      </c>
      <c r="C14" s="164" t="str">
        <f>IF(B14="","",_xlfn.XLOOKUP(B14,'Val. Maturità'!$B$4:$B$18,'Val. Maturità'!$C$4:$C$18))</f>
        <v/>
      </c>
      <c r="D14" s="25" t="str" cm="1">
        <f t="array" ref="D14">IF(B14="","",IF(INDEX('Tabella Pesi'!$A$1:$Q$16,_xlfn.XMATCH(B14,'Tabella Pesi'!$B$1:$B$16),COLUMN('Tabella Pesi'!$E$1))=Engine!G$48,Engine!G$49,IF(INDEX('Tabella Pesi'!$A$1:$Q$16,_xlfn.XMATCH(B14,'Tabella Pesi'!$B$1:$B$16),COLUMN('Tabella Pesi'!$E$1))=Engine!H$48,Engine!H$49,Engine!$J$49)))</f>
        <v/>
      </c>
      <c r="E14" s="278" t="str">
        <f>IF(C14="","",IF(C14=Engine!$B$27,"N/A",IF(C14=Engine!$B$24,1,IF(C14=Engine!$B$25,0.5,0))))</f>
        <v/>
      </c>
      <c r="F14" s="733"/>
      <c r="R14" s="135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</row>
    <row r="15" spans="1:45" x14ac:dyDescent="0.35">
      <c r="A15" s="119">
        <f>IF(OR('Tabella Pesi'!E14=Engine!$G$48,'Tabella Pesi'!E14=Engine!$H$48,'Tabella Pesi'!E14=Engine!$J$48),1,0)</f>
        <v>0</v>
      </c>
      <c r="B15" s="132" t="str" cm="1">
        <f t="array" ref="B15">IFERROR(INDEX('Tabella Pesi'!$B$2:$B$16, SMALL(IF(1=$A$3:$A$17, ROW('Tabella Pesi'!$B$2:$B$16)-1,""), ROW()-2)),"")</f>
        <v/>
      </c>
      <c r="C15" s="164" t="str">
        <f>IF(B15="","",_xlfn.XLOOKUP(B15,'Val. Maturità'!$B$4:$B$18,'Val. Maturità'!$C$4:$C$18))</f>
        <v/>
      </c>
      <c r="D15" s="25" t="str" cm="1">
        <f t="array" ref="D15">IF(B15="","",IF(INDEX('Tabella Pesi'!$A$1:$Q$16,_xlfn.XMATCH(B15,'Tabella Pesi'!$B$1:$B$16),COLUMN('Tabella Pesi'!$E$1))=Engine!G$48,Engine!G$49,IF(INDEX('Tabella Pesi'!$A$1:$Q$16,_xlfn.XMATCH(B15,'Tabella Pesi'!$B$1:$B$16),COLUMN('Tabella Pesi'!$E$1))=Engine!H$48,Engine!H$49,Engine!$J$49)))</f>
        <v/>
      </c>
      <c r="E15" s="278" t="str">
        <f>IF(C15="","",IF(C15=Engine!$B$27,"N/A",IF(C15=Engine!$B$24,1,IF(C15=Engine!$B$25,0.5,0))))</f>
        <v/>
      </c>
      <c r="F15" s="733"/>
      <c r="R15" s="13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</row>
    <row r="16" spans="1:45" x14ac:dyDescent="0.35">
      <c r="A16" s="119">
        <f>IF(OR('Tabella Pesi'!E15=Engine!$G$48,'Tabella Pesi'!E15=Engine!$H$48,'Tabella Pesi'!E15=Engine!$J$48),1,0)</f>
        <v>0</v>
      </c>
      <c r="B16" s="132" t="str" cm="1">
        <f t="array" ref="B16">IFERROR(INDEX('Tabella Pesi'!$B$2:$B$16, SMALL(IF(1=$A$3:$A$17, ROW('Tabella Pesi'!$B$2:$B$16)-1,""), ROW()-2)),"")</f>
        <v/>
      </c>
      <c r="C16" s="164" t="str">
        <f>IF(B16="","",_xlfn.XLOOKUP(B16,'Val. Maturità'!$B$4:$B$18,'Val. Maturità'!$C$4:$C$18))</f>
        <v/>
      </c>
      <c r="D16" s="25" t="str" cm="1">
        <f t="array" ref="D16">IF(B16="","",IF(INDEX('Tabella Pesi'!$A$1:$Q$16,_xlfn.XMATCH(B16,'Tabella Pesi'!$B$1:$B$16),COLUMN('Tabella Pesi'!$E$1))=Engine!G$48,Engine!G$49,IF(INDEX('Tabella Pesi'!$A$1:$Q$16,_xlfn.XMATCH(B16,'Tabella Pesi'!$B$1:$B$16),COLUMN('Tabella Pesi'!$E$1))=Engine!H$48,Engine!H$49,Engine!$J$49)))</f>
        <v/>
      </c>
      <c r="E16" s="278" t="str">
        <f>IF(C16="","",IF(C16=Engine!$B$27,"N/A",IF(C16=Engine!$B$24,1,IF(C16=Engine!$B$25,0.5,0))))</f>
        <v/>
      </c>
      <c r="F16" s="733"/>
      <c r="R16" s="135"/>
      <c r="AC16"/>
      <c r="AD16"/>
      <c r="AE16"/>
      <c r="AF16"/>
      <c r="AG16"/>
      <c r="AH16"/>
      <c r="AI16"/>
      <c r="AJ16"/>
      <c r="AK16"/>
      <c r="AL16" s="254"/>
      <c r="AM16"/>
      <c r="AN16"/>
      <c r="AO16"/>
      <c r="AP16"/>
      <c r="AQ16"/>
      <c r="AR16"/>
      <c r="AS16"/>
    </row>
    <row r="17" spans="1:45" ht="16" thickBot="1" x14ac:dyDescent="0.4">
      <c r="A17" s="120">
        <f>IF(OR('Tabella Pesi'!E16=Engine!$G$48,'Tabella Pesi'!E16=Engine!$H$48,'Tabella Pesi'!E16=Engine!$J$48),1,0)</f>
        <v>0</v>
      </c>
      <c r="B17" s="133" t="str" cm="1">
        <f t="array" ref="B17">IFERROR(INDEX('Tabella Pesi'!$B$2:$B$16, SMALL(IF(1=$A$3:$A$17, ROW('Tabella Pesi'!$B$2:$B$16)-1,""), ROW()-2)),"")</f>
        <v/>
      </c>
      <c r="C17" s="165" t="str">
        <f>IF(B17="","",_xlfn.XLOOKUP(B17,'Val. Maturità'!$B$4:$B$18,'Val. Maturità'!$C$4:$C$18))</f>
        <v/>
      </c>
      <c r="D17" s="26" t="str" cm="1">
        <f t="array" ref="D17">IF(B17="","",IF(INDEX('Tabella Pesi'!$A$1:$Q$16,_xlfn.XMATCH(B17,'Tabella Pesi'!$B$1:$B$16),COLUMN('Tabella Pesi'!$E$1))=Engine!G$48,Engine!G$49,IF(INDEX('Tabella Pesi'!$A$1:$Q$16,_xlfn.XMATCH(B17,'Tabella Pesi'!$B$1:$B$16),COLUMN('Tabella Pesi'!$E$1))=Engine!H$48,Engine!H$49,Engine!$J$49)))</f>
        <v/>
      </c>
      <c r="E17" s="279" t="str">
        <f>IF(C17="","",IF(C17=Engine!$B$27,"N/A",IF(C17=Engine!$B$24,1,IF(C17=Engine!$B$25,0.5,0))))</f>
        <v/>
      </c>
      <c r="F17" s="734"/>
      <c r="R17" s="135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</row>
    <row r="18" spans="1:45" ht="16" thickBot="1" x14ac:dyDescent="0.4">
      <c r="A18" s="136"/>
      <c r="B18" s="137"/>
      <c r="C18" s="138"/>
      <c r="D18" s="137"/>
      <c r="E18" s="137"/>
      <c r="F18" s="137"/>
      <c r="G18" s="137"/>
      <c r="H18" s="137"/>
      <c r="I18" s="137"/>
      <c r="J18" s="137"/>
      <c r="K18" s="137"/>
      <c r="L18" s="137"/>
      <c r="M18" s="137"/>
      <c r="N18" s="137"/>
      <c r="O18" s="137"/>
      <c r="P18" s="137"/>
      <c r="Q18" s="137"/>
      <c r="R18" s="139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</row>
    <row r="19" spans="1:45" x14ac:dyDescent="0.35"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</row>
    <row r="20" spans="1:45" x14ac:dyDescent="0.35"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</row>
    <row r="21" spans="1:45" x14ac:dyDescent="0.35"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</row>
    <row r="22" spans="1:45" x14ac:dyDescent="0.35"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</row>
    <row r="23" spans="1:45" x14ac:dyDescent="0.35"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</row>
    <row r="24" spans="1:45" x14ac:dyDescent="0.35"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</row>
    <row r="25" spans="1:45" x14ac:dyDescent="0.35"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</row>
    <row r="26" spans="1:45" x14ac:dyDescent="0.35"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</row>
    <row r="27" spans="1:45" x14ac:dyDescent="0.35"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</row>
    <row r="28" spans="1:45" x14ac:dyDescent="0.35"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</row>
    <row r="29" spans="1:45" x14ac:dyDescent="0.35"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</row>
    <row r="30" spans="1:45" x14ac:dyDescent="0.35"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</row>
    <row r="31" spans="1:45" x14ac:dyDescent="0.35"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</row>
    <row r="32" spans="1:45" x14ac:dyDescent="0.35"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</row>
    <row r="33" spans="29:45" x14ac:dyDescent="0.35"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</row>
    <row r="34" spans="29:45" x14ac:dyDescent="0.35"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</row>
    <row r="35" spans="29:45" x14ac:dyDescent="0.35"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</row>
    <row r="36" spans="29:45" x14ac:dyDescent="0.35"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</row>
    <row r="37" spans="29:45" x14ac:dyDescent="0.35"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</row>
    <row r="38" spans="29:45" x14ac:dyDescent="0.35"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</row>
    <row r="39" spans="29:45" x14ac:dyDescent="0.35"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</row>
    <row r="40" spans="29:45" x14ac:dyDescent="0.35"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</row>
    <row r="41" spans="29:45" x14ac:dyDescent="0.35"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</row>
    <row r="42" spans="29:45" x14ac:dyDescent="0.35"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</row>
    <row r="43" spans="29:45" x14ac:dyDescent="0.35"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</row>
    <row r="44" spans="29:45" x14ac:dyDescent="0.35"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</row>
    <row r="45" spans="29:45" x14ac:dyDescent="0.35"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</row>
    <row r="46" spans="29:45" x14ac:dyDescent="0.35"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</row>
    <row r="47" spans="29:45" x14ac:dyDescent="0.35">
      <c r="AC47"/>
      <c r="AD47"/>
      <c r="AE47"/>
      <c r="AF47"/>
      <c r="AG47"/>
      <c r="AH47"/>
      <c r="AI47"/>
      <c r="AJ47" s="254"/>
      <c r="AK47"/>
      <c r="AL47"/>
      <c r="AM47"/>
      <c r="AN47"/>
      <c r="AO47"/>
      <c r="AP47"/>
      <c r="AQ47"/>
      <c r="AR47"/>
      <c r="AS47"/>
    </row>
    <row r="48" spans="29:45" x14ac:dyDescent="0.35"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</row>
    <row r="49" spans="29:45" x14ac:dyDescent="0.35"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</row>
    <row r="50" spans="29:45" x14ac:dyDescent="0.35"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</row>
    <row r="51" spans="29:45" x14ac:dyDescent="0.35"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</row>
  </sheetData>
  <sheetProtection algorithmName="SHA-512" hashValue="UBXdzODoHpFJrbdE/HWDSN7Z1VwVkChGsvKpWJy+yPkPseExcHxYFoLVPTAnp7TB9jeDxg6kfuHjqucdhNa6Cg==" saltValue="W8WHpTaozu+DZLEiT5CEvA==" spinCount="100000" sheet="1" objects="1" scenarios="1" selectLockedCells="1" selectUnlockedCells="1"/>
  <mergeCells count="4">
    <mergeCell ref="F3:F17"/>
    <mergeCell ref="I5:L5"/>
    <mergeCell ref="I3:L3"/>
    <mergeCell ref="A1:R1"/>
  </mergeCells>
  <conditionalFormatting sqref="AM16:AN16">
    <cfRule type="colorScale" priority="3">
      <colorScale>
        <cfvo type="num" val="0"/>
        <cfvo type="num" val="0.5"/>
        <cfvo type="num" val="1"/>
        <color rgb="FF00B050"/>
        <color rgb="FFFFEB84"/>
        <color theme="5"/>
      </colorScale>
    </cfRule>
  </conditionalFormatting>
  <conditionalFormatting sqref="P5">
    <cfRule type="colorScale" priority="1">
      <colorScale>
        <cfvo type="num" val="0"/>
        <cfvo type="num" val="0.5"/>
        <cfvo type="num" val="1"/>
        <color rgb="FF00B050"/>
        <color rgb="FFFFEB84"/>
        <color theme="5"/>
      </colorScale>
    </cfRule>
  </conditionalFormatting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" id="{A07E8E61-3B62-4523-9EC1-E20CD53DF824}">
            <xm:f>COUNTA(B3:B17)-COUNTIFS(B3:B17,"")&lt;&gt;'Tabella Pesi'!$E$17</xm:f>
            <x14:dxf>
              <fill>
                <patternFill>
                  <bgColor rgb="FFFF0000"/>
                </patternFill>
              </fill>
            </x14:dxf>
          </x14:cfRule>
          <xm:sqref>B2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61C4AD-4FAF-4418-A9AB-DAB2581071A3}">
  <sheetPr codeName="Foglio8">
    <tabColor theme="8" tint="-0.249977111117893"/>
  </sheetPr>
  <dimension ref="A1:AS50"/>
  <sheetViews>
    <sheetView showGridLines="0" topLeftCell="B1" zoomScale="60" zoomScaleNormal="60" workbookViewId="0">
      <selection activeCell="B1" sqref="A1:XFD1048576"/>
    </sheetView>
  </sheetViews>
  <sheetFormatPr defaultColWidth="0" defaultRowHeight="15.5" zeroHeight="1" outlineLevelCol="1" x14ac:dyDescent="0.35"/>
  <cols>
    <col min="1" max="1" width="3.6328125" style="18" hidden="1" customWidth="1" outlineLevel="1"/>
    <col min="2" max="2" width="75" style="18" customWidth="1" collapsed="1"/>
    <col min="3" max="3" width="8.81640625" style="18" customWidth="1"/>
    <col min="4" max="4" width="6.1796875" style="18" hidden="1" customWidth="1" outlineLevel="1"/>
    <col min="5" max="5" width="8.81640625" style="18" hidden="1" customWidth="1" outlineLevel="1"/>
    <col min="6" max="6" width="8.81640625" style="18" customWidth="1" collapsed="1"/>
    <col min="7" max="45" width="8.81640625" style="18" customWidth="1"/>
    <col min="46" max="16384" width="8.81640625" style="18" hidden="1"/>
  </cols>
  <sheetData>
    <row r="1" spans="1:41" ht="25" customHeight="1" thickBot="1" x14ac:dyDescent="0.4">
      <c r="A1" s="738" t="s">
        <v>35</v>
      </c>
      <c r="B1" s="739"/>
      <c r="C1" s="739"/>
      <c r="D1" s="739"/>
      <c r="E1" s="739"/>
      <c r="F1" s="739"/>
      <c r="G1" s="739"/>
      <c r="H1" s="739"/>
      <c r="I1" s="739"/>
      <c r="J1" s="739"/>
      <c r="K1" s="739"/>
      <c r="L1" s="739"/>
      <c r="M1" s="739"/>
      <c r="N1" s="739"/>
      <c r="O1" s="739"/>
      <c r="P1" s="739"/>
      <c r="Q1" s="739"/>
      <c r="R1" s="740"/>
    </row>
    <row r="2" spans="1:41" ht="21.5" thickBot="1" x14ac:dyDescent="0.55000000000000004">
      <c r="A2" s="134"/>
      <c r="C2" s="22"/>
      <c r="R2" s="135"/>
      <c r="AD2" s="47"/>
      <c r="AE2" s="48"/>
      <c r="AF2" s="48"/>
      <c r="AG2" s="48"/>
      <c r="AH2" s="48"/>
      <c r="AI2" s="48"/>
      <c r="AJ2" s="48"/>
      <c r="AK2" s="48"/>
      <c r="AL2" s="49"/>
      <c r="AM2" s="741" t="s">
        <v>85</v>
      </c>
      <c r="AN2" s="741"/>
      <c r="AO2" s="742"/>
    </row>
    <row r="3" spans="1:41" ht="54.5" customHeight="1" thickBot="1" x14ac:dyDescent="0.4">
      <c r="A3" s="128">
        <f>IF(OR('Tabella Pesi'!F2=Engine!$G$48,'Tabella Pesi'!F2=Engine!$H$48,'Tabella Pesi'!F2=Engine!$J$48),1,0)</f>
        <v>0</v>
      </c>
      <c r="B3" s="156" t="str" cm="1">
        <f t="array" ref="B3">IFERROR(INDEX('Tabella Pesi'!$B$2:$B$16, SMALL(IF(1=$A$3:$A$17, ROW('Tabella Pesi'!$B$2:$B$16)-1,""), ROW()-2)),"")</f>
        <v>I servizi web (social network, cloud computing, posta elettronica, spazio web, ecc.) offerti da terze parti a cui si è registrati sono quelli strettamente necessari.</v>
      </c>
      <c r="C3" s="163">
        <f>IF(B3="","",_xlfn.XLOOKUP(B3,'Val. Maturità'!$B$4:$B$18,'Val. Maturità'!$C$4:$C$18))</f>
        <v>0</v>
      </c>
      <c r="D3" s="172" cm="1">
        <f t="array" ref="D3">IF(B3="","",IF(INDEX('Tabella Pesi'!$A$1:$Q$16,_xlfn.XMATCH(B3,'Tabella Pesi'!$B$1:$B$16),COLUMN('Tabella Pesi'!$F$1))=Engine!G$48,Engine!G$49,IF(INDEX('Tabella Pesi'!$A$1:$Q$16,_xlfn.XMATCH(B3,'Tabella Pesi'!$B$1:$B$16),COLUMN('Tabella Pesi'!$F$1))=Engine!H$48,Engine!H$49,Engine!$J$49)))</f>
        <v>1</v>
      </c>
      <c r="E3" s="277">
        <f>IF(C3="","",IF(C3=Engine!$B$27,"N/A",IF(C3=Engine!$B$24,1,IF(C3=Engine!$B$25,0.5,0))))</f>
        <v>0</v>
      </c>
      <c r="F3" s="732" cm="1">
        <f t="array" ref="F3">(SUMPRODUCT(--(E3:E17&lt;&gt;"N/A"),E3:E17,D3:D17)/SUMIF(E3:E17,"&lt;&gt;N/A",D3:D17))*10</f>
        <v>0</v>
      </c>
      <c r="H3" s="20"/>
      <c r="I3" s="723" t="s">
        <v>296</v>
      </c>
      <c r="J3" s="724"/>
      <c r="K3" s="724"/>
      <c r="L3" s="725"/>
      <c r="M3" s="115" t="e">
        <f>Engine!$H$58+((Engine!$D$57-Engine!$H$58)/(1+Engine!$D$58*EXP(-Engine!$H$57*(F3-Engine!$F$57)))^(1/Engine!$F$58))</f>
        <v>#VALUE!</v>
      </c>
      <c r="N3"/>
      <c r="O3"/>
      <c r="P3"/>
      <c r="Q3" s="20"/>
      <c r="R3" s="135"/>
      <c r="AD3" s="50"/>
      <c r="AE3" s="66" t="s">
        <v>51</v>
      </c>
      <c r="AF3" s="63" t="e">
        <f>(EXP(-AH3)*(0.9*EXP(10)-1.9)+0.95*EXP(10)-1.85)/(EXP(10)-1)</f>
        <v>#VALUE!</v>
      </c>
      <c r="AG3" s="67" t="s">
        <v>52</v>
      </c>
      <c r="AH3" s="63" t="str">
        <f>Engine!E31</f>
        <v>Incompleto</v>
      </c>
      <c r="AI3" s="67" t="s">
        <v>53</v>
      </c>
      <c r="AJ3" s="64">
        <v>-1</v>
      </c>
      <c r="AK3" s="102"/>
      <c r="AL3" s="51"/>
      <c r="AM3" s="51"/>
      <c r="AN3" s="51"/>
      <c r="AO3" s="52"/>
    </row>
    <row r="4" spans="1:41" ht="47" thickBot="1" x14ac:dyDescent="0.4">
      <c r="A4" s="129">
        <f>IF(OR('Tabella Pesi'!F3=Engine!$G$48,'Tabella Pesi'!F3=Engine!$H$48,'Tabella Pesi'!F3=Engine!$J$48),1,0)</f>
        <v>1</v>
      </c>
      <c r="B4" s="157" t="str" cm="1">
        <f t="array" ref="B4">IFERROR(INDEX('Tabella Pesi'!$B$2:$B$16, SMALL(IF(1=$A$3:$A$17, ROW('Tabella Pesi'!$B$2:$B$16)-1,""), ROW()-2)),"")</f>
        <v>Sono identificate e rispettate le leggi e/o i regolamenti con rilevanza in tema di cybersecurity che risultino applicabili per l’azienda.</v>
      </c>
      <c r="C4" s="164">
        <f>IF(B4="","",_xlfn.XLOOKUP(B4,'Val. Maturità'!$B$4:$B$18,'Val. Maturità'!$C$4:$C$18))</f>
        <v>0</v>
      </c>
      <c r="D4" s="173" cm="1">
        <f t="array" ref="D4">IF(B4="","",IF(INDEX('Tabella Pesi'!$A$1:$Q$16,_xlfn.XMATCH(B4,'Tabella Pesi'!$B$1:$B$16),COLUMN('Tabella Pesi'!$F$1))=Engine!G$48,Engine!G$49,IF(INDEX('Tabella Pesi'!$A$1:$Q$16,_xlfn.XMATCH(B4,'Tabella Pesi'!$B$1:$B$16),COLUMN('Tabella Pesi'!$F$1))=Engine!H$48,Engine!H$49,Engine!$J$49)))</f>
        <v>1</v>
      </c>
      <c r="E4" s="278">
        <f>IF(C4="","",IF(C4=Engine!$B$27,"N/A",IF(C4=Engine!$B$24,1,IF(C4=Engine!$B$25,0.5,0))))</f>
        <v>0</v>
      </c>
      <c r="F4" s="733"/>
      <c r="H4" s="20"/>
      <c r="I4" s="20"/>
      <c r="J4" s="20"/>
      <c r="K4" s="20"/>
      <c r="L4" s="20"/>
      <c r="M4" s="20"/>
      <c r="N4" s="20"/>
      <c r="O4" s="20"/>
      <c r="P4" s="20"/>
      <c r="Q4" s="20"/>
      <c r="R4" s="135"/>
      <c r="AD4" s="50"/>
      <c r="AE4" s="69" t="s">
        <v>54</v>
      </c>
      <c r="AF4" s="65">
        <v>1</v>
      </c>
      <c r="AG4" s="68" t="s">
        <v>55</v>
      </c>
      <c r="AH4" s="65">
        <v>1</v>
      </c>
      <c r="AI4" s="68" t="s">
        <v>56</v>
      </c>
      <c r="AJ4" s="103" t="e">
        <f>(-0.9*EXP(AH3)+0.05*EXP(10)-0.95)/(EXP(10)-1)</f>
        <v>#VALUE!</v>
      </c>
      <c r="AK4" s="102"/>
      <c r="AL4" s="51"/>
      <c r="AM4" s="51"/>
      <c r="AN4" s="51"/>
      <c r="AO4" s="52"/>
    </row>
    <row r="5" spans="1:41" ht="48.5" customHeight="1" thickBot="1" x14ac:dyDescent="0.4">
      <c r="A5" s="129">
        <f>IF(OR('Tabella Pesi'!F4=Engine!$G$48,'Tabella Pesi'!F4=Engine!$H$48,'Tabella Pesi'!F4=Engine!$J$48),1,0)</f>
        <v>0</v>
      </c>
      <c r="B5" s="157" t="str" cm="1">
        <f t="array" ref="B5">IFERROR(INDEX('Tabella Pesi'!$B$2:$B$16, SMALL(IF(1=$A$3:$A$17, ROW('Tabella Pesi'!$B$2:$B$16)-1,""), ROW()-2)),"")</f>
        <v>Tutti i dispositivi che lo consentono sono dotati di software di protezione (antivirus, antimalware, ecc...) regolarmente aggiornato.</v>
      </c>
      <c r="C5" s="164">
        <f>IF(B5="","",_xlfn.XLOOKUP(B5,'Val. Maturità'!$B$4:$B$18,'Val. Maturità'!$C$4:$C$18))</f>
        <v>0</v>
      </c>
      <c r="D5" s="173" cm="1">
        <f t="array" ref="D5">IF(B5="","",IF(INDEX('Tabella Pesi'!$A$1:$Q$16,_xlfn.XMATCH(B5,'Tabella Pesi'!$B$1:$B$16),COLUMN('Tabella Pesi'!$F$1))=Engine!G$48,Engine!G$49,IF(INDEX('Tabella Pesi'!$A$1:$Q$16,_xlfn.XMATCH(B5,'Tabella Pesi'!$B$1:$B$16),COLUMN('Tabella Pesi'!$F$1))=Engine!H$48,Engine!H$49,Engine!$J$49)))</f>
        <v>1</v>
      </c>
      <c r="E5" s="278">
        <f>IF(C5="","",IF(C5=Engine!$B$27,"N/A",IF(C5=Engine!$B$24,1,IF(C5=Engine!$B$25,0.5,0))))</f>
        <v>0</v>
      </c>
      <c r="F5" s="733"/>
      <c r="H5" s="20"/>
      <c r="I5" s="720" t="s">
        <v>88</v>
      </c>
      <c r="J5" s="721"/>
      <c r="K5" s="721"/>
      <c r="L5" s="722"/>
      <c r="M5" s="255" t="e">
        <f>M3*'Val. Maturità'!Q5</f>
        <v>#VALUE!</v>
      </c>
      <c r="N5" s="20"/>
      <c r="O5"/>
      <c r="P5"/>
      <c r="Q5"/>
      <c r="R5" s="135"/>
      <c r="AD5" s="53"/>
      <c r="AE5" s="51"/>
      <c r="AF5" s="51"/>
      <c r="AG5" s="51"/>
      <c r="AH5" s="51"/>
      <c r="AI5" s="51"/>
      <c r="AJ5" s="51"/>
      <c r="AK5" s="51"/>
      <c r="AL5" s="51"/>
      <c r="AM5" s="51"/>
      <c r="AN5" s="51"/>
      <c r="AO5" s="52"/>
    </row>
    <row r="6" spans="1:41" ht="103.5" customHeight="1" x14ac:dyDescent="0.35">
      <c r="A6" s="129">
        <f>IF(OR('Tabella Pesi'!F5=Engine!$G$48,'Tabella Pesi'!F5=Engine!$H$48,'Tabella Pesi'!F5=Engine!$J$48),1,0)</f>
        <v>0</v>
      </c>
      <c r="B6" s="157" t="str" cm="1">
        <f t="array" ref="B6">IFERROR(INDEX('Tabella Pesi'!$B$2:$B$16, SMALL(IF(1=$A$3:$A$17, ROW('Tabella Pesi'!$B$2:$B$16)-1,""), ROW()-2)),"")</f>
        <v>Il personale è adeguatamente sensibilizzato e formato sui rischi di cybersecurity e sulle pratiche da adottare per l’impiego sicuro degli strumenti aziendali (es. riconoscere allegati e-mail, utilizzare solo software autorizzato,...). I vertici aziendali hanno cura di predisporre per tutto il personale aziendale la formazione necessaria a fornire almeno le nozioni basilari di sicurezza.</v>
      </c>
      <c r="C6" s="164">
        <f>IF(B6="","",_xlfn.XLOOKUP(B6,'Val. Maturità'!$B$4:$B$18,'Val. Maturità'!$C$4:$C$18))</f>
        <v>0</v>
      </c>
      <c r="D6" s="173" cm="1">
        <f t="array" ref="D6">IF(B6="","",IF(INDEX('Tabella Pesi'!$A$1:$Q$16,_xlfn.XMATCH(B6,'Tabella Pesi'!$B$1:$B$16),COLUMN('Tabella Pesi'!$F$1))=Engine!G$48,Engine!G$49,IF(INDEX('Tabella Pesi'!$A$1:$Q$16,_xlfn.XMATCH(B6,'Tabella Pesi'!$B$1:$B$16),COLUMN('Tabella Pesi'!$F$1))=Engine!H$48,Engine!H$49,Engine!$J$49)))</f>
        <v>1</v>
      </c>
      <c r="E6" s="278">
        <f>IF(C6="","",IF(C6=Engine!$B$27,"N/A",IF(C6=Engine!$B$24,1,IF(C6=Engine!$B$25,0.5,0))))</f>
        <v>0</v>
      </c>
      <c r="F6" s="733"/>
      <c r="R6" s="135"/>
      <c r="AD6" s="50"/>
      <c r="AE6" s="91">
        <f>$F$3</f>
        <v>0</v>
      </c>
      <c r="AF6" s="92">
        <v>0</v>
      </c>
      <c r="AG6" s="72">
        <v>0</v>
      </c>
      <c r="AH6" s="70" t="e">
        <f t="shared" ref="AH6:AH18" si="0">$AJ$4+(($AF$3-$AJ$4)/(1+$AF$4*EXP(-$AJ$3*(AG6-$AH$3)))^(1/$AH$4))</f>
        <v>#VALUE!</v>
      </c>
      <c r="AI6" s="96">
        <f>IMABS($F$3-AG6)</f>
        <v>0</v>
      </c>
      <c r="AJ6" s="51"/>
      <c r="AK6" s="51"/>
      <c r="AL6" s="75">
        <f>P3</f>
        <v>0</v>
      </c>
      <c r="AM6" s="108">
        <f t="shared" ref="AM6:AM15" si="1">IF(AL6=0,0,$M$5*(1-$M$5)^(AL6-1))</f>
        <v>0</v>
      </c>
      <c r="AN6" s="111">
        <f t="shared" ref="AN6:AN13" si="2">AN7+AM6</f>
        <v>0</v>
      </c>
      <c r="AO6" s="54"/>
    </row>
    <row r="7" spans="1:41" ht="31.5" thickBot="1" x14ac:dyDescent="0.4">
      <c r="A7" s="129">
        <f>IF(OR('Tabella Pesi'!F6=Engine!$G$48,'Tabella Pesi'!F6=Engine!$H$48,'Tabella Pesi'!F6=Engine!$J$48),1,0)</f>
        <v>1</v>
      </c>
      <c r="B7" s="157" t="str" cm="1">
        <f t="array" ref="B7">IFERROR(INDEX('Tabella Pesi'!$B$2:$B$16, SMALL(IF(1=$A$3:$A$17, ROW('Tabella Pesi'!$B$2:$B$16)-1,""), ROW()-2)),"")</f>
        <v>La configurazione iniziale di tutti i sistemi e dispositivi è svolta da personale esperto, responsabile per la configurazione sicura degli stessi. Le credenziali di accesso di default sono sempre sostituite.</v>
      </c>
      <c r="C7" s="164">
        <f>IF(B7="","",_xlfn.XLOOKUP(B7,'Val. Maturità'!$B$4:$B$18,'Val. Maturità'!$C$4:$C$18))</f>
        <v>0</v>
      </c>
      <c r="D7" s="173" cm="1">
        <f t="array" ref="D7">IF(B7="","",IF(INDEX('Tabella Pesi'!$A$1:$Q$16,_xlfn.XMATCH(B7,'Tabella Pesi'!$B$1:$B$16),COLUMN('Tabella Pesi'!$F$1))=Engine!G$48,Engine!G$49,IF(INDEX('Tabella Pesi'!$A$1:$Q$16,_xlfn.XMATCH(B7,'Tabella Pesi'!$B$1:$B$16),COLUMN('Tabella Pesi'!$F$1))=Engine!H$48,Engine!H$49,Engine!$J$49)))</f>
        <v>1</v>
      </c>
      <c r="E7" s="278">
        <f>IF(C7="","",IF(C7=Engine!$B$27,"N/A",IF(C7=Engine!$B$24,1,IF(C7=Engine!$B$25,0.5,0))))</f>
        <v>0</v>
      </c>
      <c r="F7" s="733"/>
      <c r="R7" s="135"/>
      <c r="AD7" s="50"/>
      <c r="AE7" s="93">
        <f>$F$3</f>
        <v>0</v>
      </c>
      <c r="AF7" s="94">
        <v>1</v>
      </c>
      <c r="AG7" s="73">
        <f t="shared" ref="AG7:AJ46" si="3">AG6+0.25</f>
        <v>0.25</v>
      </c>
      <c r="AH7" s="95" t="e">
        <f t="shared" si="0"/>
        <v>#VALUE!</v>
      </c>
      <c r="AI7" s="97">
        <f t="shared" ref="AI7:AL46" si="4">IMABS($F$3-AG7)</f>
        <v>0.25</v>
      </c>
      <c r="AJ7" s="51"/>
      <c r="AK7" s="51"/>
      <c r="AL7" s="76">
        <f>IF(AL6=0,0,AL6-1)</f>
        <v>0</v>
      </c>
      <c r="AM7" s="109">
        <f t="shared" si="1"/>
        <v>0</v>
      </c>
      <c r="AN7" s="112">
        <f t="shared" si="2"/>
        <v>0</v>
      </c>
      <c r="AO7" s="54"/>
    </row>
    <row r="8" spans="1:41" x14ac:dyDescent="0.35">
      <c r="A8" s="129">
        <f>IF(OR('Tabella Pesi'!F7=Engine!$G$48,'Tabella Pesi'!F7=Engine!$H$48,'Tabella Pesi'!F7=Engine!$J$48),1,0)</f>
        <v>1</v>
      </c>
      <c r="B8" s="157" t="str" cm="1">
        <f t="array" ref="B8">IFERROR(INDEX('Tabella Pesi'!$B$2:$B$16, SMALL(IF(1=$A$3:$A$17, ROW('Tabella Pesi'!$B$2:$B$16)-1,""), ROW()-2)),"")</f>
        <v>Tutti i software in uso (inclusi i firmware) sono aggiornati all’ultima versione consigliata dal produttore. I dispositivi o i software obsoleti e non più aggiornabili sono dismessi.</v>
      </c>
      <c r="C8" s="164">
        <f>IF(B8="","",_xlfn.XLOOKUP(B8,'Val. Maturità'!$B$4:$B$18,'Val. Maturità'!$C$4:$C$18))</f>
        <v>0</v>
      </c>
      <c r="D8" s="173" cm="1">
        <f t="array" ref="D8">IF(B8="","",IF(INDEX('Tabella Pesi'!$A$1:$Q$16,_xlfn.XMATCH(B8,'Tabella Pesi'!$B$1:$B$16),COLUMN('Tabella Pesi'!$F$1))=Engine!G$48,Engine!G$49,IF(INDEX('Tabella Pesi'!$A$1:$Q$16,_xlfn.XMATCH(B8,'Tabella Pesi'!$B$1:$B$16),COLUMN('Tabella Pesi'!$F$1))=Engine!H$48,Engine!H$49,Engine!$J$49)))</f>
        <v>1</v>
      </c>
      <c r="E8" s="278">
        <f>IF(C8="","",IF(C8=Engine!$B$27,"N/A",IF(C8=Engine!$B$24,1,IF(C8=Engine!$B$25,0.5,0))))</f>
        <v>0</v>
      </c>
      <c r="F8" s="733"/>
      <c r="R8" s="135"/>
      <c r="AD8" s="50"/>
      <c r="AE8" s="55"/>
      <c r="AF8" s="55"/>
      <c r="AG8" s="74">
        <f t="shared" si="3"/>
        <v>0.5</v>
      </c>
      <c r="AH8" s="95" t="e">
        <f t="shared" si="0"/>
        <v>#VALUE!</v>
      </c>
      <c r="AI8" s="97">
        <f t="shared" si="4"/>
        <v>0.5</v>
      </c>
      <c r="AJ8" s="51"/>
      <c r="AK8" s="51"/>
      <c r="AL8" s="76">
        <f t="shared" ref="AL8:AL15" si="5">IF(AL7=0,0,AL7-1)</f>
        <v>0</v>
      </c>
      <c r="AM8" s="109">
        <f t="shared" si="1"/>
        <v>0</v>
      </c>
      <c r="AN8" s="112">
        <f t="shared" si="2"/>
        <v>0</v>
      </c>
      <c r="AO8" s="54"/>
    </row>
    <row r="9" spans="1:41" x14ac:dyDescent="0.35">
      <c r="A9" s="129">
        <f>IF(OR('Tabella Pesi'!F8=Engine!$G$48,'Tabella Pesi'!F8=Engine!$H$48,'Tabella Pesi'!F8=Engine!$J$48),1,0)</f>
        <v>0</v>
      </c>
      <c r="B9" s="157" t="str" cm="1">
        <f t="array" ref="B9">IFERROR(INDEX('Tabella Pesi'!$B$2:$B$16, SMALL(IF(1=$A$3:$A$17, ROW('Tabella Pesi'!$B$2:$B$16)-1,""), ROW()-2)),"")</f>
        <v/>
      </c>
      <c r="C9" s="164" t="str">
        <f>IF(B9="","",_xlfn.XLOOKUP(B9,'Val. Maturità'!$B$4:$B$18,'Val. Maturità'!$C$4:$C$18))</f>
        <v/>
      </c>
      <c r="D9" s="173" t="str" cm="1">
        <f t="array" ref="D9">IF(B9="","",IF(INDEX('Tabella Pesi'!$A$1:$Q$16,_xlfn.XMATCH(B9,'Tabella Pesi'!$B$1:$B$16),COLUMN('Tabella Pesi'!$F$1))=Engine!G$48,Engine!G$49,IF(INDEX('Tabella Pesi'!$A$1:$Q$16,_xlfn.XMATCH(B9,'Tabella Pesi'!$B$1:$B$16),COLUMN('Tabella Pesi'!$F$1))=Engine!H$48,Engine!H$49,Engine!$J$49)))</f>
        <v/>
      </c>
      <c r="E9" s="278" t="str">
        <f>IF(C9="","",IF(C9=Engine!$B$27,"N/A",IF(C9=Engine!$B$24,1,IF(C9=Engine!$B$25,0.5,0))))</f>
        <v/>
      </c>
      <c r="F9" s="733"/>
      <c r="R9" s="135"/>
      <c r="AD9" s="50"/>
      <c r="AE9" s="55"/>
      <c r="AF9" s="55"/>
      <c r="AG9" s="74">
        <f t="shared" si="3"/>
        <v>0.75</v>
      </c>
      <c r="AH9" s="95" t="e">
        <f t="shared" si="0"/>
        <v>#VALUE!</v>
      </c>
      <c r="AI9" s="97">
        <f t="shared" si="4"/>
        <v>0.75</v>
      </c>
      <c r="AJ9" s="51"/>
      <c r="AK9" s="51"/>
      <c r="AL9" s="76">
        <f t="shared" si="5"/>
        <v>0</v>
      </c>
      <c r="AM9" s="109">
        <f t="shared" si="1"/>
        <v>0</v>
      </c>
      <c r="AN9" s="112">
        <f t="shared" si="2"/>
        <v>0</v>
      </c>
      <c r="AO9" s="54"/>
    </row>
    <row r="10" spans="1:41" x14ac:dyDescent="0.35">
      <c r="A10" s="129">
        <f>IF(OR('Tabella Pesi'!F9=Engine!$G$48,'Tabella Pesi'!F9=Engine!$H$48,'Tabella Pesi'!F9=Engine!$J$48),1,0)</f>
        <v>0</v>
      </c>
      <c r="B10" s="157" t="str" cm="1">
        <f t="array" ref="B10">IFERROR(INDEX('Tabella Pesi'!$B$2:$B$16, SMALL(IF(1=$A$3:$A$17, ROW('Tabella Pesi'!$B$2:$B$16)-1,""), ROW()-2)),"")</f>
        <v/>
      </c>
      <c r="C10" s="164" t="str">
        <f>IF(B10="","",_xlfn.XLOOKUP(B10,'Val. Maturità'!$B$4:$B$18,'Val. Maturità'!$C$4:$C$18))</f>
        <v/>
      </c>
      <c r="D10" s="173" t="str" cm="1">
        <f t="array" ref="D10">IF(B10="","",IF(INDEX('Tabella Pesi'!$A$1:$Q$16,_xlfn.XMATCH(B10,'Tabella Pesi'!$B$1:$B$16),COLUMN('Tabella Pesi'!$F$1))=Engine!G$48,Engine!G$49,IF(INDEX('Tabella Pesi'!$A$1:$Q$16,_xlfn.XMATCH(B10,'Tabella Pesi'!$B$1:$B$16),COLUMN('Tabella Pesi'!$F$1))=Engine!H$48,Engine!H$49,Engine!$J$49)))</f>
        <v/>
      </c>
      <c r="E10" s="278" t="str">
        <f>IF(C10="","",IF(C10=Engine!$B$27,"N/A",IF(C10=Engine!$B$24,1,IF(C10=Engine!$B$25,0.5,0))))</f>
        <v/>
      </c>
      <c r="F10" s="733"/>
      <c r="R10" s="135"/>
      <c r="AD10" s="50"/>
      <c r="AE10" s="55"/>
      <c r="AF10" s="55"/>
      <c r="AG10" s="74">
        <f t="shared" si="3"/>
        <v>1</v>
      </c>
      <c r="AH10" s="95" t="e">
        <f t="shared" si="0"/>
        <v>#VALUE!</v>
      </c>
      <c r="AI10" s="97">
        <f t="shared" si="4"/>
        <v>1</v>
      </c>
      <c r="AJ10" s="51"/>
      <c r="AK10" s="51"/>
      <c r="AL10" s="76">
        <f t="shared" si="5"/>
        <v>0</v>
      </c>
      <c r="AM10" s="109">
        <f t="shared" si="1"/>
        <v>0</v>
      </c>
      <c r="AN10" s="112">
        <f t="shared" si="2"/>
        <v>0</v>
      </c>
      <c r="AO10" s="54"/>
    </row>
    <row r="11" spans="1:41" x14ac:dyDescent="0.35">
      <c r="A11" s="129">
        <f>IF(OR('Tabella Pesi'!F10=Engine!$G$48,'Tabella Pesi'!F10=Engine!$H$48,'Tabella Pesi'!F10=Engine!$J$48),1,0)</f>
        <v>0</v>
      </c>
      <c r="B11" s="157" t="str" cm="1">
        <f t="array" ref="B11">IFERROR(INDEX('Tabella Pesi'!$B$2:$B$16, SMALL(IF(1=$A$3:$A$17, ROW('Tabella Pesi'!$B$2:$B$16)-1,""), ROW()-2)),"")</f>
        <v/>
      </c>
      <c r="C11" s="164" t="str">
        <f>IF(B11="","",_xlfn.XLOOKUP(B11,'Val. Maturità'!$B$4:$B$18,'Val. Maturità'!$C$4:$C$18))</f>
        <v/>
      </c>
      <c r="D11" s="173" t="str" cm="1">
        <f t="array" ref="D11">IF(B11="","",IF(INDEX('Tabella Pesi'!$A$1:$Q$16,_xlfn.XMATCH(B11,'Tabella Pesi'!$B$1:$B$16),COLUMN('Tabella Pesi'!$F$1))=Engine!G$48,Engine!G$49,IF(INDEX('Tabella Pesi'!$A$1:$Q$16,_xlfn.XMATCH(B11,'Tabella Pesi'!$B$1:$B$16),COLUMN('Tabella Pesi'!$F$1))=Engine!H$48,Engine!H$49,Engine!$J$49)))</f>
        <v/>
      </c>
      <c r="E11" s="278" t="str">
        <f>IF(C11="","",IF(C11=Engine!$B$27,"N/A",IF(C11=Engine!$B$24,1,IF(C11=Engine!$B$25,0.5,0))))</f>
        <v/>
      </c>
      <c r="F11" s="733"/>
      <c r="R11" s="135"/>
      <c r="AD11" s="50"/>
      <c r="AE11" s="55"/>
      <c r="AF11" s="55"/>
      <c r="AG11" s="74">
        <f t="shared" si="3"/>
        <v>1.25</v>
      </c>
      <c r="AH11" s="95" t="e">
        <f t="shared" si="0"/>
        <v>#VALUE!</v>
      </c>
      <c r="AI11" s="97">
        <f t="shared" si="4"/>
        <v>1.25</v>
      </c>
      <c r="AJ11" s="51"/>
      <c r="AK11" s="51"/>
      <c r="AL11" s="76">
        <f t="shared" si="5"/>
        <v>0</v>
      </c>
      <c r="AM11" s="109">
        <f t="shared" si="1"/>
        <v>0</v>
      </c>
      <c r="AN11" s="112">
        <f t="shared" si="2"/>
        <v>0</v>
      </c>
      <c r="AO11" s="54"/>
    </row>
    <row r="12" spans="1:41" x14ac:dyDescent="0.35">
      <c r="A12" s="129">
        <f>IF(OR('Tabella Pesi'!F11=Engine!$G$48,'Tabella Pesi'!F11=Engine!$H$48,'Tabella Pesi'!F11=Engine!$J$48),1,0)</f>
        <v>1</v>
      </c>
      <c r="B12" s="157" t="str" cm="1">
        <f t="array" ref="B12">IFERROR(INDEX('Tabella Pesi'!$B$2:$B$16, SMALL(IF(1=$A$3:$A$17, ROW('Tabella Pesi'!$B$2:$B$16)-1,""), ROW()-2)),"")</f>
        <v/>
      </c>
      <c r="C12" s="164" t="str">
        <f>IF(B12="","",_xlfn.XLOOKUP(B12,'Val. Maturità'!$B$4:$B$18,'Val. Maturità'!$C$4:$C$18))</f>
        <v/>
      </c>
      <c r="D12" s="173" t="str" cm="1">
        <f t="array" ref="D12">IF(B12="","",IF(INDEX('Tabella Pesi'!$A$1:$Q$16,_xlfn.XMATCH(B12,'Tabella Pesi'!$B$1:$B$16),COLUMN('Tabella Pesi'!$F$1))=Engine!G$48,Engine!G$49,IF(INDEX('Tabella Pesi'!$A$1:$Q$16,_xlfn.XMATCH(B12,'Tabella Pesi'!$B$1:$B$16),COLUMN('Tabella Pesi'!$F$1))=Engine!H$48,Engine!H$49,Engine!$J$49)))</f>
        <v/>
      </c>
      <c r="E12" s="278" t="str">
        <f>IF(C12="","",IF(C12=Engine!$B$27,"N/A",IF(C12=Engine!$B$24,1,IF(C12=Engine!$B$25,0.5,0))))</f>
        <v/>
      </c>
      <c r="F12" s="733"/>
      <c r="R12" s="135"/>
      <c r="AD12" s="53"/>
      <c r="AE12" s="55"/>
      <c r="AF12" s="55"/>
      <c r="AG12" s="74">
        <f t="shared" si="3"/>
        <v>1.5</v>
      </c>
      <c r="AH12" s="95" t="e">
        <f t="shared" si="0"/>
        <v>#VALUE!</v>
      </c>
      <c r="AI12" s="97">
        <f t="shared" si="4"/>
        <v>1.5</v>
      </c>
      <c r="AJ12" s="51"/>
      <c r="AK12" s="51"/>
      <c r="AL12" s="76">
        <f t="shared" si="5"/>
        <v>0</v>
      </c>
      <c r="AM12" s="109">
        <f t="shared" si="1"/>
        <v>0</v>
      </c>
      <c r="AN12" s="112">
        <f t="shared" si="2"/>
        <v>0</v>
      </c>
      <c r="AO12" s="52"/>
    </row>
    <row r="13" spans="1:41" x14ac:dyDescent="0.35">
      <c r="A13" s="129">
        <f>IF(OR('Tabella Pesi'!F12=Engine!$G$48,'Tabella Pesi'!F12=Engine!$H$48,'Tabella Pesi'!F12=Engine!$J$48),1,0)</f>
        <v>1</v>
      </c>
      <c r="B13" s="157" t="str" cm="1">
        <f t="array" ref="B13">IFERROR(INDEX('Tabella Pesi'!$B$2:$B$16, SMALL(IF(1=$A$3:$A$17, ROW('Tabella Pesi'!$B$2:$B$16)-1,""), ROW()-2)),"")</f>
        <v/>
      </c>
      <c r="C13" s="164" t="str">
        <f>IF(B13="","",_xlfn.XLOOKUP(B13,'Val. Maturità'!$B$4:$B$18,'Val. Maturità'!$C$4:$C$18))</f>
        <v/>
      </c>
      <c r="D13" s="173" t="str" cm="1">
        <f t="array" ref="D13">IF(B13="","",IF(INDEX('Tabella Pesi'!$A$1:$Q$16,_xlfn.XMATCH(B13,'Tabella Pesi'!$B$1:$B$16),COLUMN('Tabella Pesi'!$F$1))=Engine!G$48,Engine!G$49,IF(INDEX('Tabella Pesi'!$A$1:$Q$16,_xlfn.XMATCH(B13,'Tabella Pesi'!$B$1:$B$16),COLUMN('Tabella Pesi'!$F$1))=Engine!H$48,Engine!H$49,Engine!$J$49)))</f>
        <v/>
      </c>
      <c r="E13" s="278" t="str">
        <f>IF(C13="","",IF(C13=Engine!$B$27,"N/A",IF(C13=Engine!$B$24,1,IF(C13=Engine!$B$25,0.5,0))))</f>
        <v/>
      </c>
      <c r="F13" s="733"/>
      <c r="R13" s="135"/>
      <c r="AD13" s="53"/>
      <c r="AE13" s="55"/>
      <c r="AF13" s="55"/>
      <c r="AG13" s="74">
        <f t="shared" si="3"/>
        <v>1.75</v>
      </c>
      <c r="AH13" s="95" t="e">
        <f t="shared" si="0"/>
        <v>#VALUE!</v>
      </c>
      <c r="AI13" s="97">
        <f t="shared" si="4"/>
        <v>1.75</v>
      </c>
      <c r="AJ13" s="51"/>
      <c r="AK13" s="51"/>
      <c r="AL13" s="76">
        <f t="shared" si="5"/>
        <v>0</v>
      </c>
      <c r="AM13" s="109">
        <f t="shared" si="1"/>
        <v>0</v>
      </c>
      <c r="AN13" s="112">
        <f t="shared" si="2"/>
        <v>0</v>
      </c>
      <c r="AO13" s="52"/>
    </row>
    <row r="14" spans="1:41" x14ac:dyDescent="0.35">
      <c r="A14" s="129">
        <f>IF(OR('Tabella Pesi'!F13=Engine!$G$48,'Tabella Pesi'!F13=Engine!$H$48,'Tabella Pesi'!F13=Engine!$J$48),1,0)</f>
        <v>0</v>
      </c>
      <c r="B14" s="157" t="str" cm="1">
        <f t="array" ref="B14">IFERROR(INDEX('Tabella Pesi'!$B$2:$B$16, SMALL(IF(1=$A$3:$A$17, ROW('Tabella Pesi'!$B$2:$B$16)-1,""), ROW()-2)),"")</f>
        <v/>
      </c>
      <c r="C14" s="164" t="str">
        <f>IF(B14="","",_xlfn.XLOOKUP(B14,'Val. Maturità'!$B$4:$B$18,'Val. Maturità'!$C$4:$C$18))</f>
        <v/>
      </c>
      <c r="D14" s="173" t="str" cm="1">
        <f t="array" ref="D14">IF(B14="","",IF(INDEX('Tabella Pesi'!$A$1:$Q$16,_xlfn.XMATCH(B14,'Tabella Pesi'!$B$1:$B$16),COLUMN('Tabella Pesi'!$F$1))=Engine!G$48,Engine!G$49,IF(INDEX('Tabella Pesi'!$A$1:$Q$16,_xlfn.XMATCH(B14,'Tabella Pesi'!$B$1:$B$16),COLUMN('Tabella Pesi'!$F$1))=Engine!H$48,Engine!H$49,Engine!$J$49)))</f>
        <v/>
      </c>
      <c r="E14" s="278" t="str">
        <f>IF(C14="","",IF(C14=Engine!$B$27,"N/A",IF(C14=Engine!$B$24,1,IF(C14=Engine!$B$25,0.5,0))))</f>
        <v/>
      </c>
      <c r="F14" s="733"/>
      <c r="R14" s="135"/>
      <c r="AD14" s="50"/>
      <c r="AE14" s="55"/>
      <c r="AF14" s="55"/>
      <c r="AG14" s="74">
        <f t="shared" si="3"/>
        <v>2</v>
      </c>
      <c r="AH14" s="95" t="e">
        <f t="shared" si="0"/>
        <v>#VALUE!</v>
      </c>
      <c r="AI14" s="97">
        <f t="shared" si="4"/>
        <v>2</v>
      </c>
      <c r="AJ14" s="51"/>
      <c r="AK14" s="51"/>
      <c r="AL14" s="76">
        <f t="shared" si="5"/>
        <v>0</v>
      </c>
      <c r="AM14" s="109">
        <f t="shared" si="1"/>
        <v>0</v>
      </c>
      <c r="AN14" s="112">
        <f>AN15+AM14</f>
        <v>0</v>
      </c>
      <c r="AO14" s="52"/>
    </row>
    <row r="15" spans="1:41" ht="16" thickBot="1" x14ac:dyDescent="0.4">
      <c r="A15" s="129">
        <f>IF(OR('Tabella Pesi'!F14=Engine!$G$48,'Tabella Pesi'!F14=Engine!$H$48,'Tabella Pesi'!F14=Engine!$J$48),1,0)</f>
        <v>0</v>
      </c>
      <c r="B15" s="157" t="str" cm="1">
        <f t="array" ref="B15">IFERROR(INDEX('Tabella Pesi'!$B$2:$B$16, SMALL(IF(1=$A$3:$A$17, ROW('Tabella Pesi'!$B$2:$B$16)-1,""), ROW()-2)),"")</f>
        <v/>
      </c>
      <c r="C15" s="164" t="str">
        <f>IF(B15="","",_xlfn.XLOOKUP(B15,'Val. Maturità'!$B$4:$B$18,'Val. Maturità'!$C$4:$C$18))</f>
        <v/>
      </c>
      <c r="D15" s="173" t="str" cm="1">
        <f t="array" ref="D15">IF(B15="","",IF(INDEX('Tabella Pesi'!$A$1:$Q$16,_xlfn.XMATCH(B15,'Tabella Pesi'!$B$1:$B$16),COLUMN('Tabella Pesi'!$F$1))=Engine!G$48,Engine!G$49,IF(INDEX('Tabella Pesi'!$A$1:$Q$16,_xlfn.XMATCH(B15,'Tabella Pesi'!$B$1:$B$16),COLUMN('Tabella Pesi'!$F$1))=Engine!H$48,Engine!H$49,Engine!$J$49)))</f>
        <v/>
      </c>
      <c r="E15" s="278" t="str">
        <f>IF(C15="","",IF(C15=Engine!$B$27,"N/A",IF(C15=Engine!$B$24,1,IF(C15=Engine!$B$25,0.5,0))))</f>
        <v/>
      </c>
      <c r="F15" s="733"/>
      <c r="R15" s="135"/>
      <c r="AD15" s="50"/>
      <c r="AE15" s="55"/>
      <c r="AF15" s="55"/>
      <c r="AG15" s="74">
        <f t="shared" si="3"/>
        <v>2.25</v>
      </c>
      <c r="AH15" s="95" t="e">
        <f t="shared" si="0"/>
        <v>#VALUE!</v>
      </c>
      <c r="AI15" s="97">
        <f t="shared" si="4"/>
        <v>2.25</v>
      </c>
      <c r="AJ15" s="51"/>
      <c r="AK15" s="51"/>
      <c r="AL15" s="104">
        <f t="shared" si="5"/>
        <v>0</v>
      </c>
      <c r="AM15" s="110">
        <f t="shared" si="1"/>
        <v>0</v>
      </c>
      <c r="AN15" s="113">
        <f>AM15</f>
        <v>0</v>
      </c>
      <c r="AO15" s="52"/>
    </row>
    <row r="16" spans="1:41" ht="16" thickBot="1" x14ac:dyDescent="0.4">
      <c r="A16" s="129">
        <f>IF(OR('Tabella Pesi'!F15=Engine!$G$48,'Tabella Pesi'!F15=Engine!$H$48,'Tabella Pesi'!F15=Engine!$J$48),1,0)</f>
        <v>0</v>
      </c>
      <c r="B16" s="157" t="str" cm="1">
        <f t="array" ref="B16">IFERROR(INDEX('Tabella Pesi'!$B$2:$B$16, SMALL(IF(1=$A$3:$A$17, ROW('Tabella Pesi'!$B$2:$B$16)-1,""), ROW()-2)),"")</f>
        <v/>
      </c>
      <c r="C16" s="164" t="str">
        <f>IF(B16="","",_xlfn.XLOOKUP(B16,'Val. Maturità'!$B$4:$B$18,'Val. Maturità'!$C$4:$C$18))</f>
        <v/>
      </c>
      <c r="D16" s="173" t="str" cm="1">
        <f t="array" ref="D16">IF(B16="","",IF(INDEX('Tabella Pesi'!$A$1:$Q$16,_xlfn.XMATCH(B16,'Tabella Pesi'!$B$1:$B$16),COLUMN('Tabella Pesi'!$F$1))=Engine!G$48,Engine!G$49,IF(INDEX('Tabella Pesi'!$A$1:$Q$16,_xlfn.XMATCH(B16,'Tabella Pesi'!$B$1:$B$16),COLUMN('Tabella Pesi'!$F$1))=Engine!H$48,Engine!H$49,Engine!$J$49)))</f>
        <v/>
      </c>
      <c r="E16" s="278" t="str">
        <f>IF(C16="","",IF(C16=Engine!$B$27,"N/A",IF(C16=Engine!$B$24,1,IF(C16=Engine!$B$25,0.5,0))))</f>
        <v/>
      </c>
      <c r="F16" s="733"/>
      <c r="R16" s="135"/>
      <c r="AD16" s="50"/>
      <c r="AE16" s="55"/>
      <c r="AF16" s="55"/>
      <c r="AG16" s="74">
        <f t="shared" si="3"/>
        <v>2.5</v>
      </c>
      <c r="AH16" s="95" t="e">
        <f t="shared" si="0"/>
        <v>#VALUE!</v>
      </c>
      <c r="AI16" s="97">
        <f t="shared" si="4"/>
        <v>2.5</v>
      </c>
      <c r="AJ16" s="51"/>
      <c r="AK16" s="114" t="s">
        <v>84</v>
      </c>
      <c r="AL16" s="100" t="s">
        <v>89</v>
      </c>
      <c r="AM16" s="105">
        <f>SUM(AM6:AM15)</f>
        <v>0</v>
      </c>
      <c r="AN16" s="107"/>
      <c r="AO16" s="52"/>
    </row>
    <row r="17" spans="1:44" ht="16" thickBot="1" x14ac:dyDescent="0.4">
      <c r="A17" s="130">
        <f>IF(OR('Tabella Pesi'!F16=Engine!$G$48,'Tabella Pesi'!F16=Engine!$H$48,'Tabella Pesi'!F16=Engine!$J$48),1,0)</f>
        <v>1</v>
      </c>
      <c r="B17" s="158" t="str" cm="1">
        <f t="array" ref="B17">IFERROR(INDEX('Tabella Pesi'!$B$2:$B$16, SMALL(IF(1=$A$3:$A$17, ROW('Tabella Pesi'!$B$2:$B$16)-1,""), ROW()-2)),"")</f>
        <v/>
      </c>
      <c r="C17" s="165" t="str">
        <f>IF(B17="","",_xlfn.XLOOKUP(B17,'Val. Maturità'!$B$4:$B$18,'Val. Maturità'!$C$4:$C$18))</f>
        <v/>
      </c>
      <c r="D17" s="174" t="str" cm="1">
        <f t="array" ref="D17">IF(B17="","",IF(INDEX('Tabella Pesi'!$A$1:$Q$16,_xlfn.XMATCH(B17,'Tabella Pesi'!$B$1:$B$16),COLUMN('Tabella Pesi'!$F$1))=Engine!G$48,Engine!G$49,IF(INDEX('Tabella Pesi'!$A$1:$Q$16,_xlfn.XMATCH(B17,'Tabella Pesi'!$B$1:$B$16),COLUMN('Tabella Pesi'!$F$1))=Engine!H$48,Engine!H$49,Engine!$J$49)))</f>
        <v/>
      </c>
      <c r="E17" s="279" t="str">
        <f>IF(C17="","",IF(C17=Engine!$B$27,"N/A",IF(C17=Engine!$B$24,1,IF(C17=Engine!$B$25,0.5,0))))</f>
        <v/>
      </c>
      <c r="F17" s="734"/>
      <c r="R17" s="135"/>
      <c r="AD17" s="50"/>
      <c r="AE17" s="55"/>
      <c r="AF17" s="55"/>
      <c r="AG17" s="74">
        <f t="shared" si="3"/>
        <v>2.75</v>
      </c>
      <c r="AH17" s="95" t="e">
        <f t="shared" si="0"/>
        <v>#VALUE!</v>
      </c>
      <c r="AI17" s="97">
        <f t="shared" si="4"/>
        <v>2.75</v>
      </c>
      <c r="AJ17" s="51"/>
      <c r="AK17" s="51"/>
      <c r="AL17" s="51"/>
      <c r="AM17" s="51"/>
      <c r="AN17" s="51"/>
      <c r="AO17" s="52"/>
    </row>
    <row r="18" spans="1:44" ht="16" thickBot="1" x14ac:dyDescent="0.4">
      <c r="A18" s="140"/>
      <c r="B18" s="137"/>
      <c r="C18" s="137"/>
      <c r="D18" s="137"/>
      <c r="E18" s="137"/>
      <c r="F18" s="137"/>
      <c r="G18" s="137"/>
      <c r="H18" s="137"/>
      <c r="I18" s="137"/>
      <c r="J18" s="137"/>
      <c r="K18" s="137"/>
      <c r="L18" s="137"/>
      <c r="M18" s="137"/>
      <c r="N18" s="137"/>
      <c r="O18" s="137"/>
      <c r="P18" s="137"/>
      <c r="Q18" s="137"/>
      <c r="R18" s="139"/>
      <c r="AD18" s="50"/>
      <c r="AE18" s="55"/>
      <c r="AF18" s="55"/>
      <c r="AG18" s="74">
        <f t="shared" si="3"/>
        <v>3</v>
      </c>
      <c r="AH18" s="95" t="e">
        <f t="shared" si="0"/>
        <v>#VALUE!</v>
      </c>
      <c r="AI18" s="97">
        <f t="shared" si="4"/>
        <v>3</v>
      </c>
      <c r="AJ18" s="51"/>
      <c r="AK18" s="51"/>
      <c r="AL18" s="56"/>
      <c r="AM18" s="56"/>
      <c r="AN18" s="56"/>
      <c r="AO18" s="52"/>
    </row>
    <row r="19" spans="1:44" x14ac:dyDescent="0.35">
      <c r="AG19" s="50"/>
      <c r="AH19" s="55"/>
      <c r="AI19" s="55"/>
      <c r="AJ19" s="74">
        <f>AG18+0.25</f>
        <v>3.25</v>
      </c>
      <c r="AK19" s="95" t="e">
        <f t="shared" ref="AK19:AK46" si="6">$AJ$4+(($AF$3-$AJ$4)/(1+$AF$4*EXP(-$AJ$3*(AJ19-$AH$3)))^(1/$AH$4))</f>
        <v>#VALUE!</v>
      </c>
      <c r="AL19" s="97">
        <f t="shared" si="4"/>
        <v>3.25</v>
      </c>
      <c r="AM19" s="51"/>
      <c r="AN19" s="51"/>
      <c r="AO19" s="51"/>
      <c r="AP19" s="51"/>
      <c r="AQ19" s="51"/>
      <c r="AR19" s="52"/>
    </row>
    <row r="20" spans="1:44" x14ac:dyDescent="0.35">
      <c r="AG20" s="50"/>
      <c r="AH20" s="55"/>
      <c r="AI20" s="55"/>
      <c r="AJ20" s="74">
        <f t="shared" si="3"/>
        <v>3.5</v>
      </c>
      <c r="AK20" s="95" t="e">
        <f t="shared" si="6"/>
        <v>#VALUE!</v>
      </c>
      <c r="AL20" s="97">
        <f t="shared" si="4"/>
        <v>3.5</v>
      </c>
      <c r="AM20" s="51"/>
      <c r="AN20" s="51"/>
      <c r="AO20" s="51"/>
      <c r="AP20" s="51"/>
      <c r="AQ20" s="51"/>
      <c r="AR20" s="52"/>
    </row>
    <row r="21" spans="1:44" x14ac:dyDescent="0.35">
      <c r="AG21" s="50"/>
      <c r="AH21" s="55"/>
      <c r="AI21" s="55"/>
      <c r="AJ21" s="74">
        <f t="shared" si="3"/>
        <v>3.75</v>
      </c>
      <c r="AK21" s="95" t="e">
        <f t="shared" si="6"/>
        <v>#VALUE!</v>
      </c>
      <c r="AL21" s="97">
        <f t="shared" si="4"/>
        <v>3.75</v>
      </c>
      <c r="AM21" s="51"/>
      <c r="AN21" s="51"/>
      <c r="AO21" s="51"/>
      <c r="AP21" s="51"/>
      <c r="AQ21" s="51"/>
      <c r="AR21" s="52"/>
    </row>
    <row r="22" spans="1:44" x14ac:dyDescent="0.35">
      <c r="AG22" s="50"/>
      <c r="AH22" s="55"/>
      <c r="AI22" s="55"/>
      <c r="AJ22" s="74">
        <f t="shared" si="3"/>
        <v>4</v>
      </c>
      <c r="AK22" s="95" t="e">
        <f t="shared" si="6"/>
        <v>#VALUE!</v>
      </c>
      <c r="AL22" s="97">
        <f t="shared" si="4"/>
        <v>4</v>
      </c>
      <c r="AM22" s="51"/>
      <c r="AN22" s="51"/>
      <c r="AO22" s="51"/>
      <c r="AP22" s="51"/>
      <c r="AQ22" s="51"/>
      <c r="AR22" s="52"/>
    </row>
    <row r="23" spans="1:44" x14ac:dyDescent="0.35">
      <c r="AG23" s="50"/>
      <c r="AH23" s="55"/>
      <c r="AI23" s="55"/>
      <c r="AJ23" s="74">
        <f t="shared" si="3"/>
        <v>4.25</v>
      </c>
      <c r="AK23" s="95" t="e">
        <f t="shared" si="6"/>
        <v>#VALUE!</v>
      </c>
      <c r="AL23" s="97">
        <f t="shared" si="4"/>
        <v>4.25</v>
      </c>
      <c r="AM23" s="51"/>
      <c r="AN23" s="51"/>
      <c r="AO23" s="51"/>
      <c r="AP23" s="51"/>
      <c r="AQ23" s="51"/>
      <c r="AR23" s="52"/>
    </row>
    <row r="24" spans="1:44" x14ac:dyDescent="0.35">
      <c r="AG24" s="50"/>
      <c r="AH24" s="55"/>
      <c r="AI24" s="55"/>
      <c r="AJ24" s="74">
        <f t="shared" si="3"/>
        <v>4.5</v>
      </c>
      <c r="AK24" s="95" t="e">
        <f t="shared" si="6"/>
        <v>#VALUE!</v>
      </c>
      <c r="AL24" s="97">
        <f t="shared" si="4"/>
        <v>4.5</v>
      </c>
      <c r="AM24" s="51"/>
      <c r="AN24" s="51"/>
      <c r="AO24" s="51"/>
      <c r="AP24" s="51"/>
      <c r="AQ24" s="51"/>
      <c r="AR24" s="52"/>
    </row>
    <row r="25" spans="1:44" x14ac:dyDescent="0.35">
      <c r="AG25" s="50"/>
      <c r="AH25" s="55"/>
      <c r="AI25" s="55"/>
      <c r="AJ25" s="74">
        <f t="shared" si="3"/>
        <v>4.75</v>
      </c>
      <c r="AK25" s="95" t="e">
        <f t="shared" si="6"/>
        <v>#VALUE!</v>
      </c>
      <c r="AL25" s="97">
        <f t="shared" si="4"/>
        <v>4.75</v>
      </c>
      <c r="AM25" s="51"/>
      <c r="AN25" s="51"/>
      <c r="AO25" s="51"/>
      <c r="AP25" s="51"/>
      <c r="AQ25" s="51"/>
      <c r="AR25" s="52"/>
    </row>
    <row r="26" spans="1:44" x14ac:dyDescent="0.35">
      <c r="AG26" s="50"/>
      <c r="AH26" s="55"/>
      <c r="AI26" s="55"/>
      <c r="AJ26" s="74">
        <f t="shared" si="3"/>
        <v>5</v>
      </c>
      <c r="AK26" s="95" t="e">
        <f t="shared" si="6"/>
        <v>#VALUE!</v>
      </c>
      <c r="AL26" s="97">
        <f t="shared" si="4"/>
        <v>5</v>
      </c>
      <c r="AM26" s="51"/>
      <c r="AN26" s="51"/>
      <c r="AO26" s="51"/>
      <c r="AP26" s="51"/>
      <c r="AQ26" s="51"/>
      <c r="AR26" s="52"/>
    </row>
    <row r="27" spans="1:44" x14ac:dyDescent="0.35">
      <c r="AG27" s="50"/>
      <c r="AH27" s="55"/>
      <c r="AI27" s="55"/>
      <c r="AJ27" s="74">
        <f t="shared" si="3"/>
        <v>5.25</v>
      </c>
      <c r="AK27" s="95" t="e">
        <f t="shared" si="6"/>
        <v>#VALUE!</v>
      </c>
      <c r="AL27" s="97">
        <f t="shared" si="4"/>
        <v>5.25</v>
      </c>
      <c r="AM27" s="51"/>
      <c r="AN27" s="51"/>
      <c r="AO27" s="51"/>
      <c r="AP27" s="51"/>
      <c r="AQ27" s="51"/>
      <c r="AR27" s="57"/>
    </row>
    <row r="28" spans="1:44" x14ac:dyDescent="0.35">
      <c r="AG28" s="50"/>
      <c r="AH28" s="55"/>
      <c r="AI28" s="55"/>
      <c r="AJ28" s="74">
        <f t="shared" si="3"/>
        <v>5.5</v>
      </c>
      <c r="AK28" s="95" t="e">
        <f t="shared" si="6"/>
        <v>#VALUE!</v>
      </c>
      <c r="AL28" s="97">
        <f t="shared" si="4"/>
        <v>5.5</v>
      </c>
      <c r="AM28" s="51"/>
      <c r="AN28" s="51"/>
      <c r="AO28" s="51"/>
      <c r="AP28" s="51"/>
      <c r="AQ28" s="51"/>
      <c r="AR28" s="52"/>
    </row>
    <row r="29" spans="1:44" x14ac:dyDescent="0.35">
      <c r="AG29" s="50"/>
      <c r="AH29" s="55"/>
      <c r="AI29" s="55"/>
      <c r="AJ29" s="74">
        <f t="shared" si="3"/>
        <v>5.75</v>
      </c>
      <c r="AK29" s="95" t="e">
        <f t="shared" si="6"/>
        <v>#VALUE!</v>
      </c>
      <c r="AL29" s="97">
        <f t="shared" si="4"/>
        <v>5.75</v>
      </c>
      <c r="AM29" s="56"/>
      <c r="AN29" s="56"/>
      <c r="AO29" s="51"/>
      <c r="AP29" s="51"/>
      <c r="AQ29" s="51"/>
      <c r="AR29" s="52"/>
    </row>
    <row r="30" spans="1:44" x14ac:dyDescent="0.35">
      <c r="AG30" s="50"/>
      <c r="AH30" s="55"/>
      <c r="AI30" s="55"/>
      <c r="AJ30" s="74">
        <f t="shared" si="3"/>
        <v>6</v>
      </c>
      <c r="AK30" s="95" t="e">
        <f t="shared" si="6"/>
        <v>#VALUE!</v>
      </c>
      <c r="AL30" s="97">
        <f t="shared" si="4"/>
        <v>6</v>
      </c>
      <c r="AM30" s="51"/>
      <c r="AN30" s="51"/>
      <c r="AO30" s="51"/>
      <c r="AP30" s="51"/>
      <c r="AQ30" s="51"/>
      <c r="AR30" s="52"/>
    </row>
    <row r="31" spans="1:44" x14ac:dyDescent="0.35">
      <c r="AG31" s="50"/>
      <c r="AH31" s="55"/>
      <c r="AI31" s="55"/>
      <c r="AJ31" s="74">
        <f t="shared" si="3"/>
        <v>6.25</v>
      </c>
      <c r="AK31" s="95" t="e">
        <f t="shared" si="6"/>
        <v>#VALUE!</v>
      </c>
      <c r="AL31" s="97">
        <f t="shared" si="4"/>
        <v>6.25</v>
      </c>
      <c r="AM31" s="51"/>
      <c r="AN31" s="51"/>
      <c r="AO31" s="51"/>
      <c r="AP31" s="51"/>
      <c r="AQ31" s="51"/>
      <c r="AR31" s="52"/>
    </row>
    <row r="32" spans="1:44" x14ac:dyDescent="0.35">
      <c r="AG32" s="50"/>
      <c r="AH32" s="55"/>
      <c r="AI32" s="55"/>
      <c r="AJ32" s="74">
        <f t="shared" si="3"/>
        <v>6.5</v>
      </c>
      <c r="AK32" s="95" t="e">
        <f t="shared" si="6"/>
        <v>#VALUE!</v>
      </c>
      <c r="AL32" s="97">
        <f t="shared" si="4"/>
        <v>6.5</v>
      </c>
      <c r="AM32" s="51"/>
      <c r="AN32" s="51"/>
      <c r="AO32" s="51"/>
      <c r="AP32" s="51"/>
      <c r="AQ32" s="51"/>
      <c r="AR32" s="52"/>
    </row>
    <row r="33" spans="33:44" x14ac:dyDescent="0.35">
      <c r="AG33" s="50"/>
      <c r="AH33" s="55"/>
      <c r="AI33" s="55"/>
      <c r="AJ33" s="74">
        <f t="shared" si="3"/>
        <v>6.75</v>
      </c>
      <c r="AK33" s="95" t="e">
        <f t="shared" si="6"/>
        <v>#VALUE!</v>
      </c>
      <c r="AL33" s="97">
        <f t="shared" si="4"/>
        <v>6.75</v>
      </c>
      <c r="AM33" s="51"/>
      <c r="AN33" s="51"/>
      <c r="AO33" s="51"/>
      <c r="AP33" s="51"/>
      <c r="AQ33" s="51"/>
      <c r="AR33" s="52"/>
    </row>
    <row r="34" spans="33:44" x14ac:dyDescent="0.35">
      <c r="AG34" s="50"/>
      <c r="AH34" s="55"/>
      <c r="AI34" s="55"/>
      <c r="AJ34" s="74">
        <f t="shared" si="3"/>
        <v>7</v>
      </c>
      <c r="AK34" s="95" t="e">
        <f t="shared" si="6"/>
        <v>#VALUE!</v>
      </c>
      <c r="AL34" s="97">
        <f t="shared" si="4"/>
        <v>7</v>
      </c>
      <c r="AM34" s="51"/>
      <c r="AN34" s="51"/>
      <c r="AO34" s="51"/>
      <c r="AP34" s="51"/>
      <c r="AQ34" s="51"/>
      <c r="AR34" s="52"/>
    </row>
    <row r="35" spans="33:44" x14ac:dyDescent="0.35">
      <c r="AG35" s="50"/>
      <c r="AH35" s="55"/>
      <c r="AI35" s="55"/>
      <c r="AJ35" s="74">
        <f t="shared" si="3"/>
        <v>7.25</v>
      </c>
      <c r="AK35" s="95" t="e">
        <f t="shared" si="6"/>
        <v>#VALUE!</v>
      </c>
      <c r="AL35" s="97">
        <f t="shared" si="4"/>
        <v>7.25</v>
      </c>
      <c r="AM35" s="51"/>
      <c r="AN35" s="51"/>
      <c r="AO35" s="51"/>
      <c r="AP35" s="51"/>
      <c r="AQ35" s="51"/>
      <c r="AR35" s="52"/>
    </row>
    <row r="36" spans="33:44" x14ac:dyDescent="0.35">
      <c r="AG36" s="50"/>
      <c r="AH36" s="55"/>
      <c r="AI36" s="55"/>
      <c r="AJ36" s="74">
        <f t="shared" si="3"/>
        <v>7.5</v>
      </c>
      <c r="AK36" s="95" t="e">
        <f t="shared" si="6"/>
        <v>#VALUE!</v>
      </c>
      <c r="AL36" s="97">
        <f t="shared" si="4"/>
        <v>7.5</v>
      </c>
      <c r="AM36" s="51"/>
      <c r="AN36" s="51"/>
      <c r="AO36" s="51"/>
      <c r="AP36" s="51"/>
      <c r="AQ36" s="51"/>
      <c r="AR36" s="52"/>
    </row>
    <row r="37" spans="33:44" x14ac:dyDescent="0.35">
      <c r="AG37" s="50"/>
      <c r="AH37" s="55"/>
      <c r="AI37" s="55"/>
      <c r="AJ37" s="74">
        <f t="shared" si="3"/>
        <v>7.75</v>
      </c>
      <c r="AK37" s="95" t="e">
        <f t="shared" si="6"/>
        <v>#VALUE!</v>
      </c>
      <c r="AL37" s="97">
        <f t="shared" si="4"/>
        <v>7.75</v>
      </c>
      <c r="AM37" s="51"/>
      <c r="AN37" s="51"/>
      <c r="AO37" s="51"/>
      <c r="AP37" s="51"/>
      <c r="AQ37" s="51"/>
      <c r="AR37" s="52"/>
    </row>
    <row r="38" spans="33:44" x14ac:dyDescent="0.35">
      <c r="AG38" s="50"/>
      <c r="AH38" s="55"/>
      <c r="AI38" s="55"/>
      <c r="AJ38" s="74">
        <f t="shared" si="3"/>
        <v>8</v>
      </c>
      <c r="AK38" s="95" t="e">
        <f t="shared" si="6"/>
        <v>#VALUE!</v>
      </c>
      <c r="AL38" s="97">
        <f t="shared" si="4"/>
        <v>8</v>
      </c>
      <c r="AM38" s="51"/>
      <c r="AN38" s="51"/>
      <c r="AO38" s="51"/>
      <c r="AP38" s="51"/>
      <c r="AQ38" s="51"/>
      <c r="AR38" s="52"/>
    </row>
    <row r="39" spans="33:44" x14ac:dyDescent="0.35">
      <c r="AG39" s="50"/>
      <c r="AH39" s="55"/>
      <c r="AI39" s="55"/>
      <c r="AJ39" s="74">
        <f t="shared" si="3"/>
        <v>8.25</v>
      </c>
      <c r="AK39" s="95" t="e">
        <f t="shared" si="6"/>
        <v>#VALUE!</v>
      </c>
      <c r="AL39" s="97">
        <f t="shared" si="4"/>
        <v>8.25</v>
      </c>
      <c r="AM39" s="51"/>
      <c r="AN39" s="51"/>
      <c r="AO39" s="51"/>
      <c r="AP39" s="51"/>
      <c r="AQ39" s="51"/>
      <c r="AR39" s="52"/>
    </row>
    <row r="40" spans="33:44" x14ac:dyDescent="0.35">
      <c r="AG40" s="50"/>
      <c r="AH40" s="55"/>
      <c r="AI40" s="55"/>
      <c r="AJ40" s="74">
        <f t="shared" si="3"/>
        <v>8.5</v>
      </c>
      <c r="AK40" s="95" t="e">
        <f t="shared" si="6"/>
        <v>#VALUE!</v>
      </c>
      <c r="AL40" s="97">
        <f t="shared" si="4"/>
        <v>8.5</v>
      </c>
      <c r="AM40" s="51"/>
      <c r="AN40" s="51"/>
      <c r="AO40" s="58"/>
      <c r="AP40" s="58"/>
      <c r="AQ40" s="58"/>
      <c r="AR40" s="52"/>
    </row>
    <row r="41" spans="33:44" x14ac:dyDescent="0.35">
      <c r="AG41" s="50"/>
      <c r="AH41" s="55"/>
      <c r="AI41" s="55"/>
      <c r="AJ41" s="74">
        <f t="shared" si="3"/>
        <v>8.75</v>
      </c>
      <c r="AK41" s="95" t="e">
        <f t="shared" si="6"/>
        <v>#VALUE!</v>
      </c>
      <c r="AL41" s="97">
        <f t="shared" si="4"/>
        <v>8.75</v>
      </c>
      <c r="AM41" s="51"/>
      <c r="AN41" s="51"/>
      <c r="AO41" s="58"/>
      <c r="AP41" s="58"/>
      <c r="AQ41" s="58"/>
      <c r="AR41" s="52"/>
    </row>
    <row r="42" spans="33:44" x14ac:dyDescent="0.35">
      <c r="AG42" s="50"/>
      <c r="AH42" s="55"/>
      <c r="AI42" s="55"/>
      <c r="AJ42" s="74">
        <f t="shared" si="3"/>
        <v>9</v>
      </c>
      <c r="AK42" s="95" t="e">
        <f t="shared" si="6"/>
        <v>#VALUE!</v>
      </c>
      <c r="AL42" s="97">
        <f t="shared" si="4"/>
        <v>9</v>
      </c>
      <c r="AM42" s="51"/>
      <c r="AN42" s="51"/>
      <c r="AO42" s="58"/>
      <c r="AP42" s="58"/>
      <c r="AQ42" s="58"/>
      <c r="AR42" s="52"/>
    </row>
    <row r="43" spans="33:44" x14ac:dyDescent="0.35">
      <c r="AG43" s="50"/>
      <c r="AH43" s="55"/>
      <c r="AI43" s="55"/>
      <c r="AJ43" s="74">
        <f t="shared" si="3"/>
        <v>9.25</v>
      </c>
      <c r="AK43" s="95" t="e">
        <f t="shared" si="6"/>
        <v>#VALUE!</v>
      </c>
      <c r="AL43" s="97">
        <f t="shared" si="4"/>
        <v>9.25</v>
      </c>
      <c r="AM43" s="51"/>
      <c r="AN43" s="51"/>
      <c r="AO43" s="58"/>
      <c r="AP43" s="58"/>
      <c r="AQ43" s="58"/>
      <c r="AR43" s="52"/>
    </row>
    <row r="44" spans="33:44" x14ac:dyDescent="0.35">
      <c r="AG44" s="50"/>
      <c r="AH44" s="55"/>
      <c r="AI44" s="55"/>
      <c r="AJ44" s="74">
        <f t="shared" si="3"/>
        <v>9.5</v>
      </c>
      <c r="AK44" s="95" t="e">
        <f t="shared" si="6"/>
        <v>#VALUE!</v>
      </c>
      <c r="AL44" s="97">
        <f t="shared" si="4"/>
        <v>9.5</v>
      </c>
      <c r="AM44" s="51"/>
      <c r="AN44" s="51"/>
      <c r="AO44" s="58"/>
      <c r="AP44" s="58"/>
      <c r="AQ44" s="58"/>
      <c r="AR44" s="52"/>
    </row>
    <row r="45" spans="33:44" x14ac:dyDescent="0.35">
      <c r="AG45" s="50"/>
      <c r="AH45" s="55"/>
      <c r="AI45" s="55"/>
      <c r="AJ45" s="74">
        <f t="shared" si="3"/>
        <v>9.75</v>
      </c>
      <c r="AK45" s="95" t="e">
        <f t="shared" si="6"/>
        <v>#VALUE!</v>
      </c>
      <c r="AL45" s="97">
        <f t="shared" si="4"/>
        <v>9.75</v>
      </c>
      <c r="AM45" s="51"/>
      <c r="AN45" s="51"/>
      <c r="AO45" s="58"/>
      <c r="AP45" s="58"/>
      <c r="AQ45" s="58"/>
      <c r="AR45" s="52"/>
    </row>
    <row r="46" spans="33:44" ht="16" thickBot="1" x14ac:dyDescent="0.4">
      <c r="AG46" s="50"/>
      <c r="AH46" s="55"/>
      <c r="AI46" s="55"/>
      <c r="AJ46" s="99">
        <f t="shared" si="3"/>
        <v>10</v>
      </c>
      <c r="AK46" s="71" t="e">
        <f t="shared" si="6"/>
        <v>#VALUE!</v>
      </c>
      <c r="AL46" s="98">
        <f t="shared" si="4"/>
        <v>10</v>
      </c>
      <c r="AM46" s="51"/>
      <c r="AN46" s="51"/>
      <c r="AO46" s="58"/>
      <c r="AP46" s="58"/>
      <c r="AQ46" s="58"/>
      <c r="AR46" s="52"/>
    </row>
    <row r="47" spans="33:44" ht="16" thickBot="1" x14ac:dyDescent="0.4">
      <c r="AG47" s="50"/>
      <c r="AH47" s="743" t="s">
        <v>86</v>
      </c>
      <c r="AI47" s="744"/>
      <c r="AJ47" s="100" t="s">
        <v>87</v>
      </c>
      <c r="AK47" s="101">
        <f>_xlfn.MINIFS(AK6:AK46,AL6:AL46,MIN(AL6:AL46))</f>
        <v>0</v>
      </c>
      <c r="AL47" s="106"/>
      <c r="AM47" s="51"/>
      <c r="AN47" s="51"/>
      <c r="AO47" s="58"/>
      <c r="AP47" s="58"/>
      <c r="AQ47" s="58"/>
      <c r="AR47" s="52"/>
    </row>
    <row r="48" spans="33:44" ht="16" thickBot="1" x14ac:dyDescent="0.4">
      <c r="AG48" s="59"/>
      <c r="AH48" s="60"/>
      <c r="AI48" s="60"/>
      <c r="AJ48" s="60"/>
      <c r="AK48" s="60"/>
      <c r="AL48" s="60"/>
      <c r="AM48" s="60"/>
      <c r="AN48" s="60"/>
      <c r="AO48" s="61"/>
      <c r="AP48" s="61"/>
      <c r="AQ48" s="61"/>
      <c r="AR48" s="62"/>
    </row>
    <row r="49" x14ac:dyDescent="0.35"/>
    <row r="50" x14ac:dyDescent="0.35"/>
  </sheetData>
  <sheetProtection algorithmName="SHA-512" hashValue="ryWj16H/lqRPwTkjrn1ybKo+EF/4KoVbIQIRgdZqwWHUpoZdnObBW5Zi273SkQiEyZaWyMG3EO2S9986YlBRGw==" saltValue="/WJT43YP8bl+nD0iW7gJkw==" spinCount="100000" sheet="1" objects="1" scenarios="1" selectLockedCells="1" selectUnlockedCells="1"/>
  <mergeCells count="6">
    <mergeCell ref="A1:R1"/>
    <mergeCell ref="I3:L3"/>
    <mergeCell ref="AM2:AO2"/>
    <mergeCell ref="AH47:AI47"/>
    <mergeCell ref="F3:F17"/>
    <mergeCell ref="I5:L5"/>
  </mergeCells>
  <conditionalFormatting sqref="AM16:AN16">
    <cfRule type="colorScale" priority="3">
      <colorScale>
        <cfvo type="num" val="0"/>
        <cfvo type="num" val="0.5"/>
        <cfvo type="num" val="1"/>
        <color rgb="FF00B050"/>
        <color rgb="FFFFEB84"/>
        <color theme="5"/>
      </colorScale>
    </cfRule>
  </conditionalFormatting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" id="{2BB82B4D-E452-4EA5-8C14-894A84E97D59}">
            <xm:f>COUNTA(B3:B17)-COUNTIFS(B3:B17,"")&lt;&gt;'Tabella Pesi'!$F$17</xm:f>
            <x14:dxf>
              <fill>
                <patternFill>
                  <bgColor rgb="FFFF0000"/>
                </patternFill>
              </fill>
            </x14:dxf>
          </x14:cfRule>
          <xm:sqref>B2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8A611D-3830-4AE2-9338-D0965051AD9D}">
  <sheetPr codeName="Foglio9">
    <tabColor rgb="FF00B050"/>
  </sheetPr>
  <dimension ref="A1:AS50"/>
  <sheetViews>
    <sheetView showGridLines="0" topLeftCell="B1" zoomScale="60" zoomScaleNormal="60" workbookViewId="0">
      <selection activeCell="B1" sqref="A1:XFD1048576"/>
    </sheetView>
  </sheetViews>
  <sheetFormatPr defaultColWidth="0" defaultRowHeight="15.5" zeroHeight="1" outlineLevelCol="1" x14ac:dyDescent="0.35"/>
  <cols>
    <col min="1" max="1" width="4.1796875" style="19" hidden="1" customWidth="1" outlineLevel="1"/>
    <col min="2" max="2" width="74.81640625" style="19" customWidth="1" collapsed="1"/>
    <col min="3" max="3" width="8.81640625" style="19" customWidth="1"/>
    <col min="4" max="4" width="6.81640625" style="19" hidden="1" customWidth="1" outlineLevel="1"/>
    <col min="5" max="5" width="8.81640625" style="19" hidden="1" customWidth="1" outlineLevel="1"/>
    <col min="6" max="6" width="8.81640625" style="19" customWidth="1" collapsed="1"/>
    <col min="7" max="28" width="8.81640625" style="19" customWidth="1"/>
    <col min="29" max="45" width="8.81640625" customWidth="1"/>
    <col min="46" max="16384" width="8.81640625" style="19" hidden="1"/>
  </cols>
  <sheetData>
    <row r="1" spans="1:38" ht="25.5" customHeight="1" thickBot="1" x14ac:dyDescent="0.4">
      <c r="A1" s="745" t="s">
        <v>34</v>
      </c>
      <c r="B1" s="746"/>
      <c r="C1" s="746"/>
      <c r="D1" s="746"/>
      <c r="E1" s="746"/>
      <c r="F1" s="746"/>
      <c r="G1" s="746"/>
      <c r="H1" s="746"/>
      <c r="I1" s="746"/>
      <c r="J1" s="746"/>
      <c r="K1" s="746"/>
      <c r="L1" s="746"/>
      <c r="M1" s="746"/>
      <c r="N1" s="746"/>
      <c r="O1" s="746"/>
      <c r="P1" s="746"/>
      <c r="Q1" s="746"/>
      <c r="R1" s="747"/>
    </row>
    <row r="2" spans="1:38" ht="16" thickBot="1" x14ac:dyDescent="0.4">
      <c r="A2" s="141"/>
      <c r="B2"/>
      <c r="C2"/>
      <c r="D2"/>
      <c r="R2" s="142"/>
    </row>
    <row r="3" spans="1:38" ht="45.5" customHeight="1" thickBot="1" x14ac:dyDescent="0.4">
      <c r="A3" s="118">
        <f>IF(OR('Tabella Pesi'!G2=Engine!$G$48,'Tabella Pesi'!G2=Engine!$H$48,'Tabella Pesi'!G2=Engine!$J$48),1,0)</f>
        <v>0</v>
      </c>
      <c r="B3" s="153" t="str" cm="1">
        <f t="array" ref="B3">IFERROR(INDEX('Tabella Pesi'!$B$2:$B$16, SMALL(IF(1=$A$3:$A$17, ROW('Tabella Pesi'!$B$2:$B$16)-1,""), ROW()-2)),"")</f>
        <v>I servizi web (social network, cloud computing, posta elettronica, spazio web, ecc.) offerti da terze parti a cui si è registrati sono quelli strettamente necessari.</v>
      </c>
      <c r="C3" s="163">
        <f>IF(B3="","",_xlfn.XLOOKUP(B3,'Val. Maturità'!$B$4:$B$18,'Val. Maturità'!$C$4:$C$18))</f>
        <v>0</v>
      </c>
      <c r="D3" s="175" cm="1">
        <f t="array" ref="D3">IF(B3="","",IF(INDEX('Tabella Pesi'!$A$1:$Q$16,_xlfn.XMATCH(B3,'Tabella Pesi'!$B$1:$B$16),COLUMN('Tabella Pesi'!$G$1))=Engine!G$48,Engine!G$49,IF(INDEX('Tabella Pesi'!$A$1:$Q$16,_xlfn.XMATCH(B3,'Tabella Pesi'!$B$1:$B$16),COLUMN('Tabella Pesi'!$G$1))=Engine!H$48,Engine!H$49,Engine!$J$49)))</f>
        <v>1</v>
      </c>
      <c r="E3" s="277">
        <f>IF(C3="","",IF(C3=Engine!$B$27,"N/A",IF(C3=Engine!$B$24,1,IF(C3=Engine!$B$25,0.5,0))))</f>
        <v>0</v>
      </c>
      <c r="F3" s="748" cm="1">
        <f t="array" ref="F3">(SUMPRODUCT(--(E3:E17&lt;&gt;"N/A"),E3:E17,D3:D17)/SUMIF(E3:E17,"&lt;&gt;N/A",D3:D17))*10</f>
        <v>0</v>
      </c>
      <c r="H3" s="20"/>
      <c r="I3" s="723" t="s">
        <v>296</v>
      </c>
      <c r="J3" s="724"/>
      <c r="K3" s="724"/>
      <c r="L3" s="725"/>
      <c r="M3" s="115" t="e">
        <f>Engine!$H$58+((Engine!$D$57-Engine!$H$58)/(1+Engine!$D$58*EXP(-Engine!$H$57*(F3-Engine!$F$57)))^(1/Engine!$F$58))</f>
        <v>#VALUE!</v>
      </c>
      <c r="N3"/>
      <c r="O3"/>
      <c r="P3"/>
      <c r="Q3" s="20"/>
      <c r="R3" s="142"/>
    </row>
    <row r="4" spans="1:38" ht="47" thickBot="1" x14ac:dyDescent="0.4">
      <c r="A4" s="119">
        <f>IF(OR('Tabella Pesi'!G3=Engine!$G$48,'Tabella Pesi'!G3=Engine!$H$48,'Tabella Pesi'!G3=Engine!$J$48),1,0)</f>
        <v>1</v>
      </c>
      <c r="B4" s="154" t="str" cm="1">
        <f t="array" ref="B4">IFERROR(INDEX('Tabella Pesi'!$B$2:$B$16, SMALL(IF(1=$A$3:$A$17, ROW('Tabella Pesi'!$B$2:$B$16)-1,""), ROW()-2)),"")</f>
        <v>Sono identificate e rispettate le leggi e/o i regolamenti con rilevanza in tema di cybersecurity che risultino applicabili per l’azienda.</v>
      </c>
      <c r="C4" s="164">
        <f>IF(B4="","",_xlfn.XLOOKUP(B4,'Val. Maturità'!$B$4:$B$18,'Val. Maturità'!$C$4:$C$18))</f>
        <v>0</v>
      </c>
      <c r="D4" s="176" cm="1">
        <f t="array" ref="D4">IF(B4="","",IF(INDEX('Tabella Pesi'!$A$1:$Q$16,_xlfn.XMATCH(B4,'Tabella Pesi'!$B$1:$B$16),COLUMN('Tabella Pesi'!$G$1))=Engine!G$48,Engine!G$49,IF(INDEX('Tabella Pesi'!$A$1:$Q$16,_xlfn.XMATCH(B4,'Tabella Pesi'!$B$1:$B$16),COLUMN('Tabella Pesi'!$G$1))=Engine!H$48,Engine!H$49,Engine!$J$49)))</f>
        <v>1</v>
      </c>
      <c r="E4" s="278">
        <f>IF(C4="","",IF(C4=Engine!$B$27,"N/A",IF(C4=Engine!$B$24,1,IF(C4=Engine!$B$25,0.5,0))))</f>
        <v>0</v>
      </c>
      <c r="F4" s="749"/>
      <c r="H4" s="20"/>
      <c r="I4" s="20"/>
      <c r="J4" s="20"/>
      <c r="K4" s="20"/>
      <c r="L4" s="20"/>
      <c r="M4" s="20"/>
      <c r="N4" s="20"/>
      <c r="O4" s="20"/>
      <c r="P4" s="20"/>
      <c r="Q4" s="20"/>
      <c r="R4" s="142"/>
    </row>
    <row r="5" spans="1:38" ht="41.5" customHeight="1" thickBot="1" x14ac:dyDescent="0.4">
      <c r="A5" s="119">
        <f>IF(OR('Tabella Pesi'!G4=Engine!$G$48,'Tabella Pesi'!G4=Engine!$H$48,'Tabella Pesi'!G4=Engine!$J$48),1,0)</f>
        <v>0</v>
      </c>
      <c r="B5" s="154" t="str" cm="1">
        <f t="array" ref="B5">IFERROR(INDEX('Tabella Pesi'!$B$2:$B$16, SMALL(IF(1=$A$3:$A$17, ROW('Tabella Pesi'!$B$2:$B$16)-1,""), ROW()-2)),"")</f>
        <v>Tutti i dispositivi che lo consentono sono dotati di software di protezione (antivirus, antimalware, ecc...) regolarmente aggiornato.</v>
      </c>
      <c r="C5" s="164">
        <f>IF(B5="","",_xlfn.XLOOKUP(B5,'Val. Maturità'!$B$4:$B$18,'Val. Maturità'!$C$4:$C$18))</f>
        <v>0</v>
      </c>
      <c r="D5" s="176" cm="1">
        <f t="array" ref="D5">IF(B5="","",IF(INDEX('Tabella Pesi'!$A$1:$Q$16,_xlfn.XMATCH(B5,'Tabella Pesi'!$B$1:$B$16),COLUMN('Tabella Pesi'!$G$1))=Engine!G$48,Engine!G$49,IF(INDEX('Tabella Pesi'!$A$1:$Q$16,_xlfn.XMATCH(B5,'Tabella Pesi'!$B$1:$B$16),COLUMN('Tabella Pesi'!$G$1))=Engine!H$48,Engine!H$49,Engine!$J$49)))</f>
        <v>1</v>
      </c>
      <c r="E5" s="278">
        <f>IF(C5="","",IF(C5=Engine!$B$27,"N/A",IF(C5=Engine!$B$24,1,IF(C5=Engine!$B$25,0.5,0))))</f>
        <v>0</v>
      </c>
      <c r="F5" s="749"/>
      <c r="H5" s="20"/>
      <c r="I5" s="720" t="s">
        <v>88</v>
      </c>
      <c r="J5" s="721"/>
      <c r="K5" s="721"/>
      <c r="L5" s="722"/>
      <c r="M5" s="255" t="e">
        <f>M3*'Val. Maturità'!Q5</f>
        <v>#VALUE!</v>
      </c>
      <c r="N5" s="20"/>
      <c r="O5"/>
      <c r="P5"/>
      <c r="Q5" s="20"/>
      <c r="R5" s="142"/>
    </row>
    <row r="6" spans="1:38" ht="46.5" x14ac:dyDescent="0.35">
      <c r="A6" s="119">
        <f>IF(OR('Tabella Pesi'!G5=Engine!$G$48,'Tabella Pesi'!G5=Engine!$H$48,'Tabella Pesi'!G5=Engine!$J$48),1,0)</f>
        <v>0</v>
      </c>
      <c r="B6" s="154" t="str" cm="1">
        <f t="array" ref="B6">IFERROR(INDEX('Tabella Pesi'!$B$2:$B$16, SMALL(IF(1=$A$3:$A$17, ROW('Tabella Pesi'!$B$2:$B$16)-1,""), ROW()-2)),"")</f>
        <v>Il personale è adeguatamente sensibilizzato e formato sui rischi di cybersecurity e sulle pratiche da adottare per l’impiego sicuro degli strumenti aziendali (es. riconoscere allegati e-mail, utilizzare solo software autorizzato,...). I vertici aziendali hanno cura di predisporre per tutto il personale aziendale la formazione necessaria a fornire almeno le nozioni basilari di sicurezza.</v>
      </c>
      <c r="C6" s="164">
        <f>IF(B6="","",_xlfn.XLOOKUP(B6,'Val. Maturità'!$B$4:$B$18,'Val. Maturità'!$C$4:$C$18))</f>
        <v>0</v>
      </c>
      <c r="D6" s="176" cm="1">
        <f t="array" ref="D6">IF(B6="","",IF(INDEX('Tabella Pesi'!$A$1:$Q$16,_xlfn.XMATCH(B6,'Tabella Pesi'!$B$1:$B$16),COLUMN('Tabella Pesi'!$G$1))=Engine!G$48,Engine!G$49,IF(INDEX('Tabella Pesi'!$A$1:$Q$16,_xlfn.XMATCH(B6,'Tabella Pesi'!$B$1:$B$16),COLUMN('Tabella Pesi'!$G$1))=Engine!H$48,Engine!H$49,Engine!$J$49)))</f>
        <v>1</v>
      </c>
      <c r="E6" s="278">
        <f>IF(C6="","",IF(C6=Engine!$B$27,"N/A",IF(C6=Engine!$B$24,1,IF(C6=Engine!$B$25,0.5,0))))</f>
        <v>0</v>
      </c>
      <c r="F6" s="749"/>
      <c r="I6" s="256"/>
      <c r="R6" s="142"/>
    </row>
    <row r="7" spans="1:38" ht="46.5" x14ac:dyDescent="0.35">
      <c r="A7" s="119">
        <f>IF(OR('Tabella Pesi'!G6=Engine!$G$48,'Tabella Pesi'!G6=Engine!$H$48,'Tabella Pesi'!G6=Engine!$J$48),1,0)</f>
        <v>1</v>
      </c>
      <c r="B7" s="154" t="str" cm="1">
        <f t="array" ref="B7">IFERROR(INDEX('Tabella Pesi'!$B$2:$B$16, SMALL(IF(1=$A$3:$A$17, ROW('Tabella Pesi'!$B$2:$B$16)-1,""), ROW()-2)),"")</f>
        <v>Le reti e i sistemi sono protetti da accessi non autorizzati attraverso strumenti specifici (es: Firewall e altri dispositivi/software anti-intrusione).</v>
      </c>
      <c r="C7" s="164">
        <f>IF(B7="","",_xlfn.XLOOKUP(B7,'Val. Maturità'!$B$4:$B$18,'Val. Maturità'!$C$4:$C$18))</f>
        <v>0</v>
      </c>
      <c r="D7" s="176" cm="1">
        <f t="array" ref="D7">IF(B7="","",IF(INDEX('Tabella Pesi'!$A$1:$Q$16,_xlfn.XMATCH(B7,'Tabella Pesi'!$B$1:$B$16),COLUMN('Tabella Pesi'!$G$1))=Engine!G$48,Engine!G$49,IF(INDEX('Tabella Pesi'!$A$1:$Q$16,_xlfn.XMATCH(B7,'Tabella Pesi'!$B$1:$B$16),COLUMN('Tabella Pesi'!$G$1))=Engine!H$48,Engine!H$49,Engine!$J$49)))</f>
        <v>1</v>
      </c>
      <c r="E7" s="278">
        <f>IF(C7="","",IF(C7=Engine!$B$27,"N/A",IF(C7=Engine!$B$24,1,IF(C7=Engine!$B$25,0.5,0))))</f>
        <v>0</v>
      </c>
      <c r="F7" s="749"/>
      <c r="R7" s="142"/>
    </row>
    <row r="8" spans="1:38" x14ac:dyDescent="0.35">
      <c r="A8" s="119">
        <f>IF(OR('Tabella Pesi'!G7=Engine!$G$48,'Tabella Pesi'!G7=Engine!$H$48,'Tabella Pesi'!G7=Engine!$J$48),1,0)</f>
        <v>1</v>
      </c>
      <c r="B8" s="154" t="str" cm="1">
        <f t="array" ref="B8">IFERROR(INDEX('Tabella Pesi'!$B$2:$B$16, SMALL(IF(1=$A$3:$A$17, ROW('Tabella Pesi'!$B$2:$B$16)-1,""), ROW()-2)),"")</f>
        <v/>
      </c>
      <c r="C8" s="164" t="str">
        <f>IF(B8="","",_xlfn.XLOOKUP(B8,'Val. Maturità'!$B$4:$B$18,'Val. Maturità'!$C$4:$C$18))</f>
        <v/>
      </c>
      <c r="D8" s="176" t="str" cm="1">
        <f t="array" ref="D8">IF(B8="","",IF(INDEX('Tabella Pesi'!$A$1:$Q$16,_xlfn.XMATCH(B8,'Tabella Pesi'!$B$1:$B$16),COLUMN('Tabella Pesi'!$G$1))=Engine!G$48,Engine!G$49,IF(INDEX('Tabella Pesi'!$A$1:$Q$16,_xlfn.XMATCH(B8,'Tabella Pesi'!$B$1:$B$16),COLUMN('Tabella Pesi'!$G$1))=Engine!H$48,Engine!H$49,Engine!$J$49)))</f>
        <v/>
      </c>
      <c r="E8" s="278" t="str">
        <f>IF(C8="","",IF(C8=Engine!$B$27,"N/A",IF(C8=Engine!$B$24,1,IF(C8=Engine!$B$25,0.5,0))))</f>
        <v/>
      </c>
      <c r="F8" s="749"/>
      <c r="R8" s="142"/>
    </row>
    <row r="9" spans="1:38" x14ac:dyDescent="0.35">
      <c r="A9" s="119">
        <f>IF(OR('Tabella Pesi'!G8=Engine!$G$48,'Tabella Pesi'!G8=Engine!$H$48,'Tabella Pesi'!G8=Engine!$J$48),1,0)</f>
        <v>0</v>
      </c>
      <c r="B9" s="154" t="str" cm="1">
        <f t="array" ref="B9">IFERROR(INDEX('Tabella Pesi'!$B$2:$B$16, SMALL(IF(1=$A$3:$A$17, ROW('Tabella Pesi'!$B$2:$B$16)-1,""), ROW()-2)),"")</f>
        <v/>
      </c>
      <c r="C9" s="164" t="str">
        <f>IF(B9="","",_xlfn.XLOOKUP(B9,'Val. Maturità'!$B$4:$B$18,'Val. Maturità'!$C$4:$C$18))</f>
        <v/>
      </c>
      <c r="D9" s="176" t="str" cm="1">
        <f t="array" ref="D9">IF(B9="","",IF(INDEX('Tabella Pesi'!$A$1:$Q$16,_xlfn.XMATCH(B9,'Tabella Pesi'!$B$1:$B$16),COLUMN('Tabella Pesi'!$G$1))=Engine!G$48,Engine!G$49,IF(INDEX('Tabella Pesi'!$A$1:$Q$16,_xlfn.XMATCH(B9,'Tabella Pesi'!$B$1:$B$16),COLUMN('Tabella Pesi'!$G$1))=Engine!H$48,Engine!H$49,Engine!$J$49)))</f>
        <v/>
      </c>
      <c r="E9" s="278" t="str">
        <f>IF(C9="","",IF(C9=Engine!$B$27,"N/A",IF(C9=Engine!$B$24,1,IF(C9=Engine!$B$25,0.5,0))))</f>
        <v/>
      </c>
      <c r="F9" s="749"/>
      <c r="R9" s="142"/>
    </row>
    <row r="10" spans="1:38" x14ac:dyDescent="0.35">
      <c r="A10" s="119">
        <f>IF(OR('Tabella Pesi'!G9=Engine!$G$48,'Tabella Pesi'!G9=Engine!$H$48,'Tabella Pesi'!G9=Engine!$J$48),1,0)</f>
        <v>0</v>
      </c>
      <c r="B10" s="154" t="str" cm="1">
        <f t="array" ref="B10">IFERROR(INDEX('Tabella Pesi'!$B$2:$B$16, SMALL(IF(1=$A$3:$A$17, ROW('Tabella Pesi'!$B$2:$B$16)-1,""), ROW()-2)),"")</f>
        <v/>
      </c>
      <c r="C10" s="164" t="str">
        <f>IF(B10="","",_xlfn.XLOOKUP(B10,'Val. Maturità'!$B$4:$B$18,'Val. Maturità'!$C$4:$C$18))</f>
        <v/>
      </c>
      <c r="D10" s="176" t="str" cm="1">
        <f t="array" ref="D10">IF(B10="","",IF(INDEX('Tabella Pesi'!$A$1:$Q$16,_xlfn.XMATCH(B10,'Tabella Pesi'!$B$1:$B$16),COLUMN('Tabella Pesi'!$G$1))=Engine!G$48,Engine!G$49,IF(INDEX('Tabella Pesi'!$A$1:$Q$16,_xlfn.XMATCH(B10,'Tabella Pesi'!$B$1:$B$16),COLUMN('Tabella Pesi'!$G$1))=Engine!H$48,Engine!H$49,Engine!$J$49)))</f>
        <v/>
      </c>
      <c r="E10" s="278" t="str">
        <f>IF(C10="","",IF(C10=Engine!$B$27,"N/A",IF(C10=Engine!$B$24,1,IF(C10=Engine!$B$25,0.5,0))))</f>
        <v/>
      </c>
      <c r="F10" s="749"/>
      <c r="R10" s="142"/>
    </row>
    <row r="11" spans="1:38" x14ac:dyDescent="0.35">
      <c r="A11" s="119">
        <f>IF(OR('Tabella Pesi'!G10=Engine!$G$48,'Tabella Pesi'!G10=Engine!$H$48,'Tabella Pesi'!G10=Engine!$J$48),1,0)</f>
        <v>0</v>
      </c>
      <c r="B11" s="154" t="str" cm="1">
        <f t="array" ref="B11">IFERROR(INDEX('Tabella Pesi'!$B$2:$B$16, SMALL(IF(1=$A$3:$A$17, ROW('Tabella Pesi'!$B$2:$B$16)-1,""), ROW()-2)),"")</f>
        <v/>
      </c>
      <c r="C11" s="164" t="str">
        <f>IF(B11="","",_xlfn.XLOOKUP(B11,'Val. Maturità'!$B$4:$B$18,'Val. Maturità'!$C$4:$C$18))</f>
        <v/>
      </c>
      <c r="D11" s="176" t="str" cm="1">
        <f t="array" ref="D11">IF(B11="","",IF(INDEX('Tabella Pesi'!$A$1:$Q$16,_xlfn.XMATCH(B11,'Tabella Pesi'!$B$1:$B$16),COLUMN('Tabella Pesi'!$G$1))=Engine!G$48,Engine!G$49,IF(INDEX('Tabella Pesi'!$A$1:$Q$16,_xlfn.XMATCH(B11,'Tabella Pesi'!$B$1:$B$16),COLUMN('Tabella Pesi'!$G$1))=Engine!H$48,Engine!H$49,Engine!$J$49)))</f>
        <v/>
      </c>
      <c r="E11" s="278" t="str">
        <f>IF(C11="","",IF(C11=Engine!$B$27,"N/A",IF(C11=Engine!$B$24,1,IF(C11=Engine!$B$25,0.5,0))))</f>
        <v/>
      </c>
      <c r="F11" s="749"/>
      <c r="R11" s="142"/>
    </row>
    <row r="12" spans="1:38" x14ac:dyDescent="0.35">
      <c r="A12" s="119">
        <f>IF(OR('Tabella Pesi'!G11=Engine!$G$48,'Tabella Pesi'!G11=Engine!$H$48,'Tabella Pesi'!G11=Engine!$J$48),1,0)</f>
        <v>1</v>
      </c>
      <c r="B12" s="154" t="str" cm="1">
        <f t="array" ref="B12">IFERROR(INDEX('Tabella Pesi'!$B$2:$B$16, SMALL(IF(1=$A$3:$A$17, ROW('Tabella Pesi'!$B$2:$B$16)-1,""), ROW()-2)),"")</f>
        <v/>
      </c>
      <c r="C12" s="164" t="str">
        <f>IF(B12="","",_xlfn.XLOOKUP(B12,'Val. Maturità'!$B$4:$B$18,'Val. Maturità'!$C$4:$C$18))</f>
        <v/>
      </c>
      <c r="D12" s="176" t="str" cm="1">
        <f t="array" ref="D12">IF(B12="","",IF(INDEX('Tabella Pesi'!$A$1:$Q$16,_xlfn.XMATCH(B12,'Tabella Pesi'!$B$1:$B$16),COLUMN('Tabella Pesi'!$G$1))=Engine!G$48,Engine!G$49,IF(INDEX('Tabella Pesi'!$A$1:$Q$16,_xlfn.XMATCH(B12,'Tabella Pesi'!$B$1:$B$16),COLUMN('Tabella Pesi'!$G$1))=Engine!H$48,Engine!H$49,Engine!$J$49)))</f>
        <v/>
      </c>
      <c r="E12" s="278" t="str">
        <f>IF(C12="","",IF(C12=Engine!$B$27,"N/A",IF(C12=Engine!$B$24,1,IF(C12=Engine!$B$25,0.5,0))))</f>
        <v/>
      </c>
      <c r="F12" s="749"/>
      <c r="R12" s="142"/>
    </row>
    <row r="13" spans="1:38" x14ac:dyDescent="0.35">
      <c r="A13" s="119">
        <f>IF(OR('Tabella Pesi'!G12=Engine!$G$48,'Tabella Pesi'!G12=Engine!$H$48,'Tabella Pesi'!G12=Engine!$J$48),1,0)</f>
        <v>0</v>
      </c>
      <c r="B13" s="154" t="str" cm="1">
        <f t="array" ref="B13">IFERROR(INDEX('Tabella Pesi'!$B$2:$B$16, SMALL(IF(1=$A$3:$A$17, ROW('Tabella Pesi'!$B$2:$B$16)-1,""), ROW()-2)),"")</f>
        <v/>
      </c>
      <c r="C13" s="164" t="str">
        <f>IF(B13="","",_xlfn.XLOOKUP(B13,'Val. Maturità'!$B$4:$B$18,'Val. Maturità'!$C$4:$C$18))</f>
        <v/>
      </c>
      <c r="D13" s="176" t="str" cm="1">
        <f t="array" ref="D13">IF(B13="","",IF(INDEX('Tabella Pesi'!$A$1:$Q$16,_xlfn.XMATCH(B13,'Tabella Pesi'!$B$1:$B$16),COLUMN('Tabella Pesi'!$G$1))=Engine!G$48,Engine!G$49,IF(INDEX('Tabella Pesi'!$A$1:$Q$16,_xlfn.XMATCH(B13,'Tabella Pesi'!$B$1:$B$16),COLUMN('Tabella Pesi'!$G$1))=Engine!H$48,Engine!H$49,Engine!$J$49)))</f>
        <v/>
      </c>
      <c r="E13" s="278" t="str">
        <f>IF(C13="","",IF(C13=Engine!$B$27,"N/A",IF(C13=Engine!$B$24,1,IF(C13=Engine!$B$25,0.5,0))))</f>
        <v/>
      </c>
      <c r="F13" s="749"/>
      <c r="R13" s="142"/>
    </row>
    <row r="14" spans="1:38" x14ac:dyDescent="0.35">
      <c r="A14" s="119">
        <f>IF(OR('Tabella Pesi'!G13=Engine!$G$48,'Tabella Pesi'!G13=Engine!$H$48,'Tabella Pesi'!G13=Engine!$J$48),1,0)</f>
        <v>0</v>
      </c>
      <c r="B14" s="154" t="str" cm="1">
        <f t="array" ref="B14">IFERROR(INDEX('Tabella Pesi'!$B$2:$B$16, SMALL(IF(1=$A$3:$A$17, ROW('Tabella Pesi'!$B$2:$B$16)-1,""), ROW()-2)),"")</f>
        <v/>
      </c>
      <c r="C14" s="164" t="str">
        <f>IF(B14="","",_xlfn.XLOOKUP(B14,'Val. Maturità'!$B$4:$B$18,'Val. Maturità'!$C$4:$C$18))</f>
        <v/>
      </c>
      <c r="D14" s="176" t="str" cm="1">
        <f t="array" ref="D14">IF(B14="","",IF(INDEX('Tabella Pesi'!$A$1:$Q$16,_xlfn.XMATCH(B14,'Tabella Pesi'!$B$1:$B$16),COLUMN('Tabella Pesi'!$G$1))=Engine!G$48,Engine!G$49,IF(INDEX('Tabella Pesi'!$A$1:$Q$16,_xlfn.XMATCH(B14,'Tabella Pesi'!$B$1:$B$16),COLUMN('Tabella Pesi'!$G$1))=Engine!H$48,Engine!H$49,Engine!$J$49)))</f>
        <v/>
      </c>
      <c r="E14" s="278" t="str">
        <f>IF(C14="","",IF(C14=Engine!$B$27,"N/A",IF(C14=Engine!$B$24,1,IF(C14=Engine!$B$25,0.5,0))))</f>
        <v/>
      </c>
      <c r="F14" s="749"/>
      <c r="R14" s="142"/>
    </row>
    <row r="15" spans="1:38" x14ac:dyDescent="0.35">
      <c r="A15" s="119">
        <f>IF(OR('Tabella Pesi'!G14=Engine!$G$48,'Tabella Pesi'!G14=Engine!$H$48,'Tabella Pesi'!G14=Engine!$J$48),1,0)</f>
        <v>1</v>
      </c>
      <c r="B15" s="154" t="str" cm="1">
        <f t="array" ref="B15">IFERROR(INDEX('Tabella Pesi'!$B$2:$B$16, SMALL(IF(1=$A$3:$A$17, ROW('Tabella Pesi'!$B$2:$B$16)-1,""), ROW()-2)),"")</f>
        <v/>
      </c>
      <c r="C15" s="164" t="str">
        <f>IF(B15="","",_xlfn.XLOOKUP(B15,'Val. Maturità'!$B$4:$B$18,'Val. Maturità'!$C$4:$C$18))</f>
        <v/>
      </c>
      <c r="D15" s="176" t="str" cm="1">
        <f t="array" ref="D15">IF(B15="","",IF(INDEX('Tabella Pesi'!$A$1:$Q$16,_xlfn.XMATCH(B15,'Tabella Pesi'!$B$1:$B$16),COLUMN('Tabella Pesi'!$G$1))=Engine!G$48,Engine!G$49,IF(INDEX('Tabella Pesi'!$A$1:$Q$16,_xlfn.XMATCH(B15,'Tabella Pesi'!$B$1:$B$16),COLUMN('Tabella Pesi'!$G$1))=Engine!H$48,Engine!H$49,Engine!$J$49)))</f>
        <v/>
      </c>
      <c r="E15" s="278" t="str">
        <f>IF(C15="","",IF(C15=Engine!$B$27,"N/A",IF(C15=Engine!$B$24,1,IF(C15=Engine!$B$25,0.5,0))))</f>
        <v/>
      </c>
      <c r="F15" s="749"/>
      <c r="R15" s="142"/>
    </row>
    <row r="16" spans="1:38" x14ac:dyDescent="0.35">
      <c r="A16" s="119">
        <f>IF(OR('Tabella Pesi'!G15=Engine!$G$48,'Tabella Pesi'!G15=Engine!$H$48,'Tabella Pesi'!G15=Engine!$J$48),1,0)</f>
        <v>0</v>
      </c>
      <c r="B16" s="154" t="str" cm="1">
        <f t="array" ref="B16">IFERROR(INDEX('Tabella Pesi'!$B$2:$B$16, SMALL(IF(1=$A$3:$A$17, ROW('Tabella Pesi'!$B$2:$B$16)-1,""), ROW()-2)),"")</f>
        <v/>
      </c>
      <c r="C16" s="164" t="str">
        <f>IF(B16="","",_xlfn.XLOOKUP(B16,'Val. Maturità'!$B$4:$B$18,'Val. Maturità'!$C$4:$C$18))</f>
        <v/>
      </c>
      <c r="D16" s="176" t="str" cm="1">
        <f t="array" ref="D16">IF(B16="","",IF(INDEX('Tabella Pesi'!$A$1:$Q$16,_xlfn.XMATCH(B16,'Tabella Pesi'!$B$1:$B$16),COLUMN('Tabella Pesi'!$G$1))=Engine!G$48,Engine!G$49,IF(INDEX('Tabella Pesi'!$A$1:$Q$16,_xlfn.XMATCH(B16,'Tabella Pesi'!$B$1:$B$16),COLUMN('Tabella Pesi'!$G$1))=Engine!H$48,Engine!H$49,Engine!$J$49)))</f>
        <v/>
      </c>
      <c r="E16" s="278" t="str">
        <f>IF(C16="","",IF(C16=Engine!$B$27,"N/A",IF(C16=Engine!$B$24,1,IF(C16=Engine!$B$25,0.5,0))))</f>
        <v/>
      </c>
      <c r="F16" s="749"/>
      <c r="R16" s="142"/>
      <c r="AL16" s="254"/>
    </row>
    <row r="17" spans="1:18" ht="16" thickBot="1" x14ac:dyDescent="0.4">
      <c r="A17" s="120">
        <f>IF(OR('Tabella Pesi'!G16=Engine!$G$48,'Tabella Pesi'!G16=Engine!$H$48,'Tabella Pesi'!G16=Engine!$J$48),1,0)</f>
        <v>0</v>
      </c>
      <c r="B17" s="155" t="str" cm="1">
        <f t="array" ref="B17">IFERROR(INDEX('Tabella Pesi'!$B$2:$B$16, SMALL(IF(1=$A$3:$A$17, ROW('Tabella Pesi'!$B$2:$B$16)-1,""), ROW()-2)),"")</f>
        <v/>
      </c>
      <c r="C17" s="165" t="str">
        <f>IF(B17="","",_xlfn.XLOOKUP(B17,'Val. Maturità'!$B$4:$B$18,'Val. Maturità'!$C$4:$C$18))</f>
        <v/>
      </c>
      <c r="D17" s="177" t="str" cm="1">
        <f t="array" ref="D17">IF(B17="","",IF(INDEX('Tabella Pesi'!$A$1:$Q$16,_xlfn.XMATCH(B17,'Tabella Pesi'!$B$1:$B$16),COLUMN('Tabella Pesi'!$G$1))=Engine!G$48,Engine!G$49,IF(INDEX('Tabella Pesi'!$A$1:$Q$16,_xlfn.XMATCH(B17,'Tabella Pesi'!$B$1:$B$16),COLUMN('Tabella Pesi'!$G$1))=Engine!H$48,Engine!H$49,Engine!$J$49)))</f>
        <v/>
      </c>
      <c r="E17" s="279" t="str">
        <f>IF(C17="","",IF(C17=Engine!$B$27,"N/A",IF(C17=Engine!$B$24,1,IF(C17=Engine!$B$25,0.5,0))))</f>
        <v/>
      </c>
      <c r="F17" s="750"/>
      <c r="R17" s="142"/>
    </row>
    <row r="18" spans="1:18" ht="16" thickBot="1" x14ac:dyDescent="0.4">
      <c r="A18" s="143"/>
      <c r="B18" s="144"/>
      <c r="C18" s="144"/>
      <c r="D18" s="144"/>
      <c r="E18" s="144"/>
      <c r="F18" s="144"/>
      <c r="G18" s="144"/>
      <c r="H18" s="144"/>
      <c r="I18" s="144"/>
      <c r="J18" s="144"/>
      <c r="K18" s="144"/>
      <c r="L18" s="144"/>
      <c r="M18" s="144"/>
      <c r="N18" s="144"/>
      <c r="O18" s="144"/>
      <c r="P18" s="144"/>
      <c r="Q18" s="144"/>
      <c r="R18" s="145"/>
    </row>
    <row r="19" spans="1:18" x14ac:dyDescent="0.35"/>
    <row r="20" spans="1:18" x14ac:dyDescent="0.35"/>
    <row r="21" spans="1:18" x14ac:dyDescent="0.35"/>
    <row r="22" spans="1:18" x14ac:dyDescent="0.35"/>
    <row r="23" spans="1:18" x14ac:dyDescent="0.35"/>
    <row r="24" spans="1:18" x14ac:dyDescent="0.35"/>
    <row r="25" spans="1:18" x14ac:dyDescent="0.35"/>
    <row r="26" spans="1:18" x14ac:dyDescent="0.35"/>
    <row r="27" spans="1:18" x14ac:dyDescent="0.35"/>
    <row r="28" spans="1:18" x14ac:dyDescent="0.35"/>
    <row r="29" spans="1:18" x14ac:dyDescent="0.35"/>
    <row r="30" spans="1:18" x14ac:dyDescent="0.35"/>
    <row r="31" spans="1:18" x14ac:dyDescent="0.35"/>
    <row r="32" spans="1:18" x14ac:dyDescent="0.35"/>
    <row r="33" spans="36:36" x14ac:dyDescent="0.35"/>
    <row r="34" spans="36:36" x14ac:dyDescent="0.35"/>
    <row r="35" spans="36:36" x14ac:dyDescent="0.35"/>
    <row r="36" spans="36:36" x14ac:dyDescent="0.35"/>
    <row r="37" spans="36:36" x14ac:dyDescent="0.35"/>
    <row r="38" spans="36:36" x14ac:dyDescent="0.35"/>
    <row r="39" spans="36:36" x14ac:dyDescent="0.35"/>
    <row r="40" spans="36:36" x14ac:dyDescent="0.35"/>
    <row r="41" spans="36:36" x14ac:dyDescent="0.35"/>
    <row r="42" spans="36:36" x14ac:dyDescent="0.35"/>
    <row r="43" spans="36:36" x14ac:dyDescent="0.35"/>
    <row r="44" spans="36:36" x14ac:dyDescent="0.35"/>
    <row r="45" spans="36:36" x14ac:dyDescent="0.35"/>
    <row r="46" spans="36:36" x14ac:dyDescent="0.35"/>
    <row r="47" spans="36:36" x14ac:dyDescent="0.35">
      <c r="AJ47" s="254"/>
    </row>
    <row r="48" spans="36:36" x14ac:dyDescent="0.35"/>
    <row r="49" x14ac:dyDescent="0.35"/>
    <row r="50" x14ac:dyDescent="0.35"/>
  </sheetData>
  <sheetProtection algorithmName="SHA-512" hashValue="5yDdM/3casWFAZCEWCqR+E1Y5cgaB1S+0/QstuYnSGAMklLmP5SLZtOVdrGTMcSftRn0hidx/Chw3K45GwuAjA==" saltValue="q2F6nVlqSWSaCpHjtHqf6g==" spinCount="100000" sheet="1" objects="1" scenarios="1" selectLockedCells="1" selectUnlockedCells="1"/>
  <mergeCells count="4">
    <mergeCell ref="A1:R1"/>
    <mergeCell ref="F3:F17"/>
    <mergeCell ref="I5:L5"/>
    <mergeCell ref="I3:L3"/>
  </mergeCells>
  <conditionalFormatting sqref="AM16:AN16">
    <cfRule type="colorScale" priority="3">
      <colorScale>
        <cfvo type="num" val="0"/>
        <cfvo type="num" val="0.5"/>
        <cfvo type="num" val="1"/>
        <color rgb="FF00B050"/>
        <color rgb="FFFFEB84"/>
        <color theme="5"/>
      </colorScale>
    </cfRule>
  </conditionalFormatting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" id="{FDBF2C5C-B2AB-44A3-9DB5-AA692264A40F}">
            <xm:f>COUNTA(B3:B17)-COUNTIFS(B3:B17,"")&lt;&gt;'Tabella Pesi'!$G$17</xm:f>
            <x14:dxf>
              <fill>
                <patternFill>
                  <bgColor rgb="FFFF0000"/>
                </patternFill>
              </fill>
            </x14:dxf>
          </x14:cfRule>
          <xm:sqref>B2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C38538-01B0-4AE9-944E-BC858AE26903}">
  <sheetPr codeName="Foglio10">
    <tabColor theme="9" tint="0.39997558519241921"/>
  </sheetPr>
  <dimension ref="A1:AS50"/>
  <sheetViews>
    <sheetView showGridLines="0" topLeftCell="B1" zoomScale="60" zoomScaleNormal="60" workbookViewId="0">
      <selection activeCell="B1" sqref="A1:XFD1048576"/>
    </sheetView>
  </sheetViews>
  <sheetFormatPr defaultColWidth="0" defaultRowHeight="15.5" zeroHeight="1" outlineLevelCol="1" x14ac:dyDescent="0.35"/>
  <cols>
    <col min="1" max="1" width="4.1796875" style="18" hidden="1" customWidth="1" outlineLevel="1"/>
    <col min="2" max="2" width="74.54296875" style="18" customWidth="1" collapsed="1"/>
    <col min="3" max="3" width="8.81640625" style="18" customWidth="1"/>
    <col min="4" max="4" width="7.1796875" style="18" hidden="1" customWidth="1" outlineLevel="1"/>
    <col min="5" max="5" width="8.81640625" style="18" hidden="1" customWidth="1" outlineLevel="1"/>
    <col min="6" max="6" width="7.1796875" style="18" customWidth="1" collapsed="1"/>
    <col min="7" max="28" width="8.81640625" style="18" customWidth="1"/>
    <col min="29" max="45" width="8.81640625" customWidth="1"/>
    <col min="46" max="16384" width="8.81640625" hidden="1"/>
  </cols>
  <sheetData>
    <row r="1" spans="1:38" ht="27.5" customHeight="1" thickBot="1" x14ac:dyDescent="0.4">
      <c r="A1" s="751" t="s">
        <v>33</v>
      </c>
      <c r="B1" s="752"/>
      <c r="C1" s="752"/>
      <c r="D1" s="752"/>
      <c r="E1" s="752"/>
      <c r="F1" s="752"/>
      <c r="G1" s="752"/>
      <c r="H1" s="752"/>
      <c r="I1" s="752"/>
      <c r="J1" s="752"/>
      <c r="K1" s="752"/>
      <c r="L1" s="752"/>
      <c r="M1" s="752"/>
      <c r="N1" s="752"/>
      <c r="O1" s="752"/>
      <c r="P1" s="752"/>
      <c r="Q1" s="752"/>
      <c r="R1" s="753"/>
    </row>
    <row r="2" spans="1:38" ht="16" thickBot="1" x14ac:dyDescent="0.4">
      <c r="A2" s="141"/>
      <c r="B2"/>
      <c r="C2"/>
      <c r="D2"/>
      <c r="R2" s="135"/>
    </row>
    <row r="3" spans="1:38" ht="38" customHeight="1" thickBot="1" x14ac:dyDescent="0.4">
      <c r="A3" s="118">
        <f>IF(OR('Tabella Pesi'!H2=Engine!$G$48,'Tabella Pesi'!H2=Engine!$H$48,'Tabella Pesi'!H2=Engine!$J$48),1,0)</f>
        <v>0</v>
      </c>
      <c r="B3" s="131" t="str" cm="1">
        <f t="array" ref="B3">IFERROR(INDEX('Tabella Pesi'!$B$2:$B$16, SMALL(IF(1=$A$3:$A$17, ROW('Tabella Pesi'!$B$2:$B$16)-1,""), ROW()-2)),"")</f>
        <v>I servizi web (social network, cloud computing, posta elettronica, spazio web, ecc.) offerti da terze parti a cui si è registrati sono quelli strettamente necessari.</v>
      </c>
      <c r="C3" s="163">
        <f>IF(B3="","",_xlfn.XLOOKUP(B3,'Val. Maturità'!$B$4:$B$18,'Val. Maturità'!$C$4:$C$18))</f>
        <v>0</v>
      </c>
      <c r="D3" s="175" cm="1">
        <f t="array" ref="D3">IF(B3="","",IF(INDEX('Tabella Pesi'!$A$1:$Q$16,_xlfn.XMATCH(B3,'Tabella Pesi'!$B$1:$B$16),COLUMN('Tabella Pesi'!$H$1))=Engine!G$48,Engine!G$49,IF(INDEX('Tabella Pesi'!$A$1:$Q$16,_xlfn.XMATCH(B3,'Tabella Pesi'!$B$1:$B$16),COLUMN('Tabella Pesi'!$H$1))=Engine!H$48,Engine!H$49,Engine!$J$49)))</f>
        <v>1</v>
      </c>
      <c r="E3" s="277">
        <f>IF(C3="","",IF(C3=Engine!$B$27,"N/A",IF(C3=Engine!$B$24,1,IF(C3=Engine!$B$25,0.5,0))))</f>
        <v>0</v>
      </c>
      <c r="F3" s="748" cm="1">
        <f t="array" ref="F3">(SUMPRODUCT(--(E3:E17&lt;&gt;"N/A"),E3:E17,D3:D17)/SUMIF(E3:E17,"&lt;&gt;N/A",D3:D17))*10</f>
        <v>0</v>
      </c>
      <c r="H3" s="20"/>
      <c r="I3" s="723" t="s">
        <v>296</v>
      </c>
      <c r="J3" s="724"/>
      <c r="K3" s="724"/>
      <c r="L3" s="725"/>
      <c r="M3" s="115" t="e">
        <f>Engine!$H$58+((Engine!$D$57-Engine!$H$58)/(1+Engine!$D$58*EXP(-Engine!$H$57*(F3-Engine!$F$57)))^(1/Engine!$F$58))</f>
        <v>#VALUE!</v>
      </c>
      <c r="N3"/>
      <c r="O3"/>
      <c r="P3"/>
      <c r="Q3" s="20"/>
      <c r="R3" s="135"/>
    </row>
    <row r="4" spans="1:38" ht="47" thickBot="1" x14ac:dyDescent="0.4">
      <c r="A4" s="119">
        <f>IF(OR('Tabella Pesi'!H3=Engine!$G$48,'Tabella Pesi'!H3=Engine!$H$48,'Tabella Pesi'!H3=Engine!$J$48),1,0)</f>
        <v>1</v>
      </c>
      <c r="B4" s="132" t="str" cm="1">
        <f t="array" ref="B4">IFERROR(INDEX('Tabella Pesi'!$B$2:$B$16, SMALL(IF(1=$A$3:$A$17, ROW('Tabella Pesi'!$B$2:$B$16)-1,""), ROW()-2)),"")</f>
        <v>Sono identificate e rispettate le leggi e/o i regolamenti con rilevanza in tema di cybersecurity che risultino applicabili per l’azienda.</v>
      </c>
      <c r="C4" s="164">
        <f>IF(B4="","",_xlfn.XLOOKUP(B4,'Val. Maturità'!$B$4:$B$18,'Val. Maturità'!$C$4:$C$18))</f>
        <v>0</v>
      </c>
      <c r="D4" s="176" cm="1">
        <f t="array" ref="D4">IF(B4="","",IF(INDEX('Tabella Pesi'!$A$1:$Q$16,_xlfn.XMATCH(B4,'Tabella Pesi'!$B$1:$B$16),COLUMN('Tabella Pesi'!$H$1))=Engine!G$48,Engine!G$49,IF(INDEX('Tabella Pesi'!$A$1:$Q$16,_xlfn.XMATCH(B4,'Tabella Pesi'!$B$1:$B$16),COLUMN('Tabella Pesi'!$H$1))=Engine!H$48,Engine!H$49,Engine!$J$49)))</f>
        <v>1</v>
      </c>
      <c r="E4" s="278">
        <f>IF(C4="","",IF(C4=Engine!$B$27,"N/A",IF(C4=Engine!$B$24,1,IF(C4=Engine!$B$25,0.5,0))))</f>
        <v>0</v>
      </c>
      <c r="F4" s="749"/>
      <c r="H4" s="20"/>
      <c r="I4" s="20"/>
      <c r="J4" s="20"/>
      <c r="K4" s="20"/>
      <c r="L4" s="20"/>
      <c r="M4" s="20"/>
      <c r="N4" s="20"/>
      <c r="O4" s="20"/>
      <c r="P4" s="20"/>
      <c r="Q4" s="20"/>
      <c r="R4" s="135"/>
    </row>
    <row r="5" spans="1:38" ht="47" customHeight="1" thickBot="1" x14ac:dyDescent="0.4">
      <c r="A5" s="119">
        <f>IF(OR('Tabella Pesi'!H4=Engine!$G$48,'Tabella Pesi'!H4=Engine!$H$48,'Tabella Pesi'!H4=Engine!$J$48),1,0)</f>
        <v>0</v>
      </c>
      <c r="B5" s="132" t="str" cm="1">
        <f t="array" ref="B5">IFERROR(INDEX('Tabella Pesi'!$B$2:$B$16, SMALL(IF(1=$A$3:$A$17, ROW('Tabella Pesi'!$B$2:$B$16)-1,""), ROW()-2)),"")</f>
        <v>Sono eseguiti periodicamente backup delle informazioni e dei dati critici per l’azienda (identificati al controllo 3). I backup sono conservati in modo sicuro e verificati periodicamente.</v>
      </c>
      <c r="C5" s="164">
        <f>IF(B5="","",_xlfn.XLOOKUP(B5,'Val. Maturità'!$B$4:$B$18,'Val. Maturità'!$C$4:$C$18))</f>
        <v>0</v>
      </c>
      <c r="D5" s="176" cm="1">
        <f t="array" ref="D5">IF(B5="","",IF(INDEX('Tabella Pesi'!$A$1:$Q$16,_xlfn.XMATCH(B5,'Tabella Pesi'!$B$1:$B$16),COLUMN('Tabella Pesi'!$H$1))=Engine!G$48,Engine!G$49,IF(INDEX('Tabella Pesi'!$A$1:$Q$16,_xlfn.XMATCH(B5,'Tabella Pesi'!$B$1:$B$16),COLUMN('Tabella Pesi'!$H$1))=Engine!H$48,Engine!H$49,Engine!$J$49)))</f>
        <v>1</v>
      </c>
      <c r="E5" s="278">
        <f>IF(C5="","",IF(C5=Engine!$B$27,"N/A",IF(C5=Engine!$B$24,1,IF(C5=Engine!$B$25,0.5,0))))</f>
        <v>0</v>
      </c>
      <c r="F5" s="749"/>
      <c r="H5" s="20"/>
      <c r="I5" s="720" t="s">
        <v>88</v>
      </c>
      <c r="J5" s="721"/>
      <c r="K5" s="721"/>
      <c r="L5" s="722"/>
      <c r="M5" s="255" t="e">
        <f>M3*'Val. Maturità'!Q5</f>
        <v>#VALUE!</v>
      </c>
      <c r="N5" s="20"/>
      <c r="O5"/>
      <c r="P5"/>
      <c r="Q5" s="20"/>
      <c r="R5" s="135"/>
    </row>
    <row r="6" spans="1:38" ht="46.5" x14ac:dyDescent="0.35">
      <c r="A6" s="119">
        <f>IF(OR('Tabella Pesi'!H5=Engine!$G$48,'Tabella Pesi'!H5=Engine!$H$48,'Tabella Pesi'!H5=Engine!$J$48),1,0)</f>
        <v>0</v>
      </c>
      <c r="B6" s="132" t="str" cm="1">
        <f t="array" ref="B6">IFERROR(INDEX('Tabella Pesi'!$B$2:$B$16, SMALL(IF(1=$A$3:$A$17, ROW('Tabella Pesi'!$B$2:$B$16)-1,""), ROW()-2)),"")</f>
        <v>Le reti e i sistemi sono protetti da accessi non autorizzati attraverso strumenti specifici (es: Firewall e altri dispositivi/software anti-intrusione).</v>
      </c>
      <c r="C6" s="164">
        <f>IF(B6="","",_xlfn.XLOOKUP(B6,'Val. Maturità'!$B$4:$B$18,'Val. Maturità'!$C$4:$C$18))</f>
        <v>0</v>
      </c>
      <c r="D6" s="176" cm="1">
        <f t="array" ref="D6">IF(B6="","",IF(INDEX('Tabella Pesi'!$A$1:$Q$16,_xlfn.XMATCH(B6,'Tabella Pesi'!$B$1:$B$16),COLUMN('Tabella Pesi'!$H$1))=Engine!G$48,Engine!G$49,IF(INDEX('Tabella Pesi'!$A$1:$Q$16,_xlfn.XMATCH(B6,'Tabella Pesi'!$B$1:$B$16),COLUMN('Tabella Pesi'!$H$1))=Engine!H$48,Engine!H$49,Engine!$J$49)))</f>
        <v>1</v>
      </c>
      <c r="E6" s="278">
        <f>IF(C6="","",IF(C6=Engine!$B$27,"N/A",IF(C6=Engine!$B$24,1,IF(C6=Engine!$B$25,0.5,0))))</f>
        <v>0</v>
      </c>
      <c r="F6" s="749"/>
      <c r="R6" s="135"/>
    </row>
    <row r="7" spans="1:38" x14ac:dyDescent="0.35">
      <c r="A7" s="119">
        <f>IF(OR('Tabella Pesi'!H6=Engine!$G$48,'Tabella Pesi'!H6=Engine!$H$48,'Tabella Pesi'!H6=Engine!$J$48),1,0)</f>
        <v>1</v>
      </c>
      <c r="B7" s="132" t="str" cm="1">
        <f t="array" ref="B7">IFERROR(INDEX('Tabella Pesi'!$B$2:$B$16, SMALL(IF(1=$A$3:$A$17, ROW('Tabella Pesi'!$B$2:$B$16)-1,""), ROW()-2)),"")</f>
        <v>Tutti i software in uso (inclusi i firmware) sono aggiornati all’ultima versione consigliata dal produttore. I dispositivi o i software obsoleti e non più aggiornabili sono dismessi.</v>
      </c>
      <c r="C7" s="164">
        <f>IF(B7="","",_xlfn.XLOOKUP(B7,'Val. Maturità'!$B$4:$B$18,'Val. Maturità'!$C$4:$C$18))</f>
        <v>0</v>
      </c>
      <c r="D7" s="176" cm="1">
        <f t="array" ref="D7">IF(B7="","",IF(INDEX('Tabella Pesi'!$A$1:$Q$16,_xlfn.XMATCH(B7,'Tabella Pesi'!$B$1:$B$16),COLUMN('Tabella Pesi'!$H$1))=Engine!G$48,Engine!G$49,IF(INDEX('Tabella Pesi'!$A$1:$Q$16,_xlfn.XMATCH(B7,'Tabella Pesi'!$B$1:$B$16),COLUMN('Tabella Pesi'!$H$1))=Engine!H$48,Engine!H$49,Engine!$J$49)))</f>
        <v>1</v>
      </c>
      <c r="E7" s="278">
        <f>IF(C7="","",IF(C7=Engine!$B$27,"N/A",IF(C7=Engine!$B$24,1,IF(C7=Engine!$B$25,0.5,0))))</f>
        <v>0</v>
      </c>
      <c r="F7" s="749"/>
      <c r="R7" s="135"/>
    </row>
    <row r="8" spans="1:38" ht="21.5" customHeight="1" x14ac:dyDescent="0.35">
      <c r="A8" s="119">
        <f>IF(OR('Tabella Pesi'!H7=Engine!$G$48,'Tabella Pesi'!H7=Engine!$H$48,'Tabella Pesi'!H7=Engine!$J$48),1,0)</f>
        <v>0</v>
      </c>
      <c r="B8" s="132" t="str" cm="1">
        <f t="array" ref="B8">IFERROR(INDEX('Tabella Pesi'!$B$2:$B$16, SMALL(IF(1=$A$3:$A$17, ROW('Tabella Pesi'!$B$2:$B$16)-1,""), ROW()-2)),"")</f>
        <v/>
      </c>
      <c r="C8" s="164" t="str">
        <f>IF(B8="","",_xlfn.XLOOKUP(B8,'Val. Maturità'!$B$4:$B$18,'Val. Maturità'!$C$4:$C$18))</f>
        <v/>
      </c>
      <c r="D8" s="176" t="str" cm="1">
        <f t="array" ref="D8">IF(B8="","",IF(INDEX('Tabella Pesi'!$A$1:$Q$16,_xlfn.XMATCH(B8,'Tabella Pesi'!$B$1:$B$16),COLUMN('Tabella Pesi'!$H$1))=Engine!G$48,Engine!G$49,IF(INDEX('Tabella Pesi'!$A$1:$Q$16,_xlfn.XMATCH(B8,'Tabella Pesi'!$B$1:$B$16),COLUMN('Tabella Pesi'!$H$1))=Engine!H$48,Engine!H$49,Engine!$J$49)))</f>
        <v/>
      </c>
      <c r="E8" s="278" t="str">
        <f>IF(C8="","",IF(C8=Engine!$B$27,"N/A",IF(C8=Engine!$B$24,1,IF(C8=Engine!$B$25,0.5,0))))</f>
        <v/>
      </c>
      <c r="F8" s="749"/>
      <c r="R8" s="135"/>
    </row>
    <row r="9" spans="1:38" ht="21.5" customHeight="1" x14ac:dyDescent="0.35">
      <c r="A9" s="119">
        <f>IF(OR('Tabella Pesi'!H8=Engine!$G$48,'Tabella Pesi'!H8=Engine!$H$48,'Tabella Pesi'!H8=Engine!$J$48),1,0)</f>
        <v>0</v>
      </c>
      <c r="B9" s="132" t="str" cm="1">
        <f t="array" ref="B9">IFERROR(INDEX('Tabella Pesi'!$B$2:$B$16, SMALL(IF(1=$A$3:$A$17, ROW('Tabella Pesi'!$B$2:$B$16)-1,""), ROW()-2)),"")</f>
        <v/>
      </c>
      <c r="C9" s="164" t="str">
        <f>IF(B9="","",_xlfn.XLOOKUP(B9,'Val. Maturità'!$B$4:$B$18,'Val. Maturità'!$C$4:$C$18))</f>
        <v/>
      </c>
      <c r="D9" s="176" t="str" cm="1">
        <f t="array" ref="D9">IF(B9="","",IF(INDEX('Tabella Pesi'!$A$1:$Q$16,_xlfn.XMATCH(B9,'Tabella Pesi'!$B$1:$B$16),COLUMN('Tabella Pesi'!$H$1))=Engine!G$48,Engine!G$49,IF(INDEX('Tabella Pesi'!$A$1:$Q$16,_xlfn.XMATCH(B9,'Tabella Pesi'!$B$1:$B$16),COLUMN('Tabella Pesi'!$H$1))=Engine!H$48,Engine!H$49,Engine!$J$49)))</f>
        <v/>
      </c>
      <c r="E9" s="278" t="str">
        <f>IF(C9="","",IF(C9=Engine!$B$27,"N/A",IF(C9=Engine!$B$24,1,IF(C9=Engine!$B$25,0.5,0))))</f>
        <v/>
      </c>
      <c r="F9" s="749"/>
      <c r="R9" s="135"/>
    </row>
    <row r="10" spans="1:38" ht="21.5" customHeight="1" x14ac:dyDescent="0.35">
      <c r="A10" s="119">
        <f>IF(OR('Tabella Pesi'!H9=Engine!$G$48,'Tabella Pesi'!H9=Engine!$H$48,'Tabella Pesi'!H9=Engine!$J$48),1,0)</f>
        <v>0</v>
      </c>
      <c r="B10" s="132" t="str" cm="1">
        <f t="array" ref="B10">IFERROR(INDEX('Tabella Pesi'!$B$2:$B$16, SMALL(IF(1=$A$3:$A$17, ROW('Tabella Pesi'!$B$2:$B$16)-1,""), ROW()-2)),"")</f>
        <v/>
      </c>
      <c r="C10" s="164" t="str">
        <f>IF(B10="","",_xlfn.XLOOKUP(B10,'Val. Maturità'!$B$4:$B$18,'Val. Maturità'!$C$4:$C$18))</f>
        <v/>
      </c>
      <c r="D10" s="176" t="str" cm="1">
        <f t="array" ref="D10">IF(B10="","",IF(INDEX('Tabella Pesi'!$A$1:$Q$16,_xlfn.XMATCH(B10,'Tabella Pesi'!$B$1:$B$16),COLUMN('Tabella Pesi'!$H$1))=Engine!G$48,Engine!G$49,IF(INDEX('Tabella Pesi'!$A$1:$Q$16,_xlfn.XMATCH(B10,'Tabella Pesi'!$B$1:$B$16),COLUMN('Tabella Pesi'!$H$1))=Engine!H$48,Engine!H$49,Engine!$J$49)))</f>
        <v/>
      </c>
      <c r="E10" s="278" t="str">
        <f>IF(C10="","",IF(C10=Engine!$B$27,"N/A",IF(C10=Engine!$B$24,1,IF(C10=Engine!$B$25,0.5,0))))</f>
        <v/>
      </c>
      <c r="F10" s="749"/>
      <c r="R10" s="135"/>
    </row>
    <row r="11" spans="1:38" ht="21.5" customHeight="1" x14ac:dyDescent="0.35">
      <c r="A11" s="119">
        <f>IF(OR('Tabella Pesi'!H10=Engine!$G$48,'Tabella Pesi'!H10=Engine!$H$48,'Tabella Pesi'!H10=Engine!$J$48),1,0)</f>
        <v>0</v>
      </c>
      <c r="B11" s="132" t="str" cm="1">
        <f t="array" ref="B11">IFERROR(INDEX('Tabella Pesi'!$B$2:$B$16, SMALL(IF(1=$A$3:$A$17, ROW('Tabella Pesi'!$B$2:$B$16)-1,""), ROW()-2)),"")</f>
        <v/>
      </c>
      <c r="C11" s="164" t="str">
        <f>IF(B11="","",_xlfn.XLOOKUP(B11,'Val. Maturità'!$B$4:$B$18,'Val. Maturità'!$C$4:$C$18))</f>
        <v/>
      </c>
      <c r="D11" s="176" t="str" cm="1">
        <f t="array" ref="D11">IF(B11="","",IF(INDEX('Tabella Pesi'!$A$1:$Q$16,_xlfn.XMATCH(B11,'Tabella Pesi'!$B$1:$B$16),COLUMN('Tabella Pesi'!$H$1))=Engine!G$48,Engine!G$49,IF(INDEX('Tabella Pesi'!$A$1:$Q$16,_xlfn.XMATCH(B11,'Tabella Pesi'!$B$1:$B$16),COLUMN('Tabella Pesi'!$H$1))=Engine!H$48,Engine!H$49,Engine!$J$49)))</f>
        <v/>
      </c>
      <c r="E11" s="278" t="str">
        <f>IF(C11="","",IF(C11=Engine!$B$27,"N/A",IF(C11=Engine!$B$24,1,IF(C11=Engine!$B$25,0.5,0))))</f>
        <v/>
      </c>
      <c r="F11" s="749"/>
      <c r="R11" s="135"/>
    </row>
    <row r="12" spans="1:38" ht="21.5" customHeight="1" x14ac:dyDescent="0.35">
      <c r="A12" s="119">
        <f>IF(OR('Tabella Pesi'!H11=Engine!$G$48,'Tabella Pesi'!H11=Engine!$H$48,'Tabella Pesi'!H11=Engine!$J$48),1,0)</f>
        <v>0</v>
      </c>
      <c r="B12" s="132" t="str" cm="1">
        <f t="array" ref="B12">IFERROR(INDEX('Tabella Pesi'!$B$2:$B$16, SMALL(IF(1=$A$3:$A$17, ROW('Tabella Pesi'!$B$2:$B$16)-1,""), ROW()-2)),"")</f>
        <v/>
      </c>
      <c r="C12" s="164" t="str">
        <f>IF(B12="","",_xlfn.XLOOKUP(B12,'Val. Maturità'!$B$4:$B$18,'Val. Maturità'!$C$4:$C$18))</f>
        <v/>
      </c>
      <c r="D12" s="176" t="str" cm="1">
        <f t="array" ref="D12">IF(B12="","",IF(INDEX('Tabella Pesi'!$A$1:$Q$16,_xlfn.XMATCH(B12,'Tabella Pesi'!$B$1:$B$16),COLUMN('Tabella Pesi'!$H$1))=Engine!G$48,Engine!G$49,IF(INDEX('Tabella Pesi'!$A$1:$Q$16,_xlfn.XMATCH(B12,'Tabella Pesi'!$B$1:$B$16),COLUMN('Tabella Pesi'!$H$1))=Engine!H$48,Engine!H$49,Engine!$J$49)))</f>
        <v/>
      </c>
      <c r="E12" s="278" t="str">
        <f>IF(C12="","",IF(C12=Engine!$B$27,"N/A",IF(C12=Engine!$B$24,1,IF(C12=Engine!$B$25,0.5,0))))</f>
        <v/>
      </c>
      <c r="F12" s="749"/>
      <c r="R12" s="135"/>
    </row>
    <row r="13" spans="1:38" x14ac:dyDescent="0.35">
      <c r="A13" s="119">
        <f>IF(OR('Tabella Pesi'!H12=Engine!$G$48,'Tabella Pesi'!H12=Engine!$H$48,'Tabella Pesi'!H12=Engine!$J$48),1,0)</f>
        <v>0</v>
      </c>
      <c r="B13" s="132" t="str" cm="1">
        <f t="array" ref="B13">IFERROR(INDEX('Tabella Pesi'!$B$2:$B$16, SMALL(IF(1=$A$3:$A$17, ROW('Tabella Pesi'!$B$2:$B$16)-1,""), ROW()-2)),"")</f>
        <v/>
      </c>
      <c r="C13" s="164" t="str">
        <f>IF(B13="","",_xlfn.XLOOKUP(B13,'Val. Maturità'!$B$4:$B$18,'Val. Maturità'!$C$4:$C$18))</f>
        <v/>
      </c>
      <c r="D13" s="176" t="str" cm="1">
        <f t="array" ref="D13">IF(B13="","",IF(INDEX('Tabella Pesi'!$A$1:$Q$16,_xlfn.XMATCH(B13,'Tabella Pesi'!$B$1:$B$16),COLUMN('Tabella Pesi'!$H$1))=Engine!G$48,Engine!G$49,IF(INDEX('Tabella Pesi'!$A$1:$Q$16,_xlfn.XMATCH(B13,'Tabella Pesi'!$B$1:$B$16),COLUMN('Tabella Pesi'!$H$1))=Engine!H$48,Engine!H$49,Engine!$J$49)))</f>
        <v/>
      </c>
      <c r="E13" s="278" t="str">
        <f>IF(C13="","",IF(C13=Engine!$B$27,"N/A",IF(C13=Engine!$B$24,1,IF(C13=Engine!$B$25,0.5,0))))</f>
        <v/>
      </c>
      <c r="F13" s="749"/>
      <c r="R13" s="135"/>
    </row>
    <row r="14" spans="1:38" x14ac:dyDescent="0.35">
      <c r="A14" s="119">
        <f>IF(OR('Tabella Pesi'!H13=Engine!$G$48,'Tabella Pesi'!H13=Engine!$H$48,'Tabella Pesi'!H13=Engine!$J$48),1,0)</f>
        <v>1</v>
      </c>
      <c r="B14" s="132" t="str" cm="1">
        <f t="array" ref="B14">IFERROR(INDEX('Tabella Pesi'!$B$2:$B$16, SMALL(IF(1=$A$3:$A$17, ROW('Tabella Pesi'!$B$2:$B$16)-1,""), ROW()-2)),"")</f>
        <v/>
      </c>
      <c r="C14" s="164" t="str">
        <f>IF(B14="","",_xlfn.XLOOKUP(B14,'Val. Maturità'!$B$4:$B$18,'Val. Maturità'!$C$4:$C$18))</f>
        <v/>
      </c>
      <c r="D14" s="176" t="str" cm="1">
        <f t="array" ref="D14">IF(B14="","",IF(INDEX('Tabella Pesi'!$A$1:$Q$16,_xlfn.XMATCH(B14,'Tabella Pesi'!$B$1:$B$16),COLUMN('Tabella Pesi'!$H$1))=Engine!G$48,Engine!G$49,IF(INDEX('Tabella Pesi'!$A$1:$Q$16,_xlfn.XMATCH(B14,'Tabella Pesi'!$B$1:$B$16),COLUMN('Tabella Pesi'!$H$1))=Engine!H$48,Engine!H$49,Engine!$J$49)))</f>
        <v/>
      </c>
      <c r="E14" s="278" t="str">
        <f>IF(C14="","",IF(C14=Engine!$B$27,"N/A",IF(C14=Engine!$B$24,1,IF(C14=Engine!$B$25,0.5,0))))</f>
        <v/>
      </c>
      <c r="F14" s="749"/>
      <c r="R14" s="135"/>
    </row>
    <row r="15" spans="1:38" x14ac:dyDescent="0.35">
      <c r="A15" s="119">
        <f>IF(OR('Tabella Pesi'!H14=Engine!$G$48,'Tabella Pesi'!H14=Engine!$H$48,'Tabella Pesi'!H14=Engine!$J$48),1,0)</f>
        <v>1</v>
      </c>
      <c r="B15" s="132" t="str" cm="1">
        <f t="array" ref="B15">IFERROR(INDEX('Tabella Pesi'!$B$2:$B$16, SMALL(IF(1=$A$3:$A$17, ROW('Tabella Pesi'!$B$2:$B$16)-1,""), ROW()-2)),"")</f>
        <v/>
      </c>
      <c r="C15" s="164" t="str">
        <f>IF(B15="","",_xlfn.XLOOKUP(B15,'Val. Maturità'!$B$4:$B$18,'Val. Maturità'!$C$4:$C$18))</f>
        <v/>
      </c>
      <c r="D15" s="176" t="str" cm="1">
        <f t="array" ref="D15">IF(B15="","",IF(INDEX('Tabella Pesi'!$A$1:$Q$16,_xlfn.XMATCH(B15,'Tabella Pesi'!$B$1:$B$16),COLUMN('Tabella Pesi'!$H$1))=Engine!G$48,Engine!G$49,IF(INDEX('Tabella Pesi'!$A$1:$Q$16,_xlfn.XMATCH(B15,'Tabella Pesi'!$B$1:$B$16),COLUMN('Tabella Pesi'!$H$1))=Engine!H$48,Engine!H$49,Engine!$J$49)))</f>
        <v/>
      </c>
      <c r="E15" s="278" t="str">
        <f>IF(C15="","",IF(C15=Engine!$B$27,"N/A",IF(C15=Engine!$B$24,1,IF(C15=Engine!$B$25,0.5,0))))</f>
        <v/>
      </c>
      <c r="F15" s="749"/>
      <c r="R15" s="135"/>
    </row>
    <row r="16" spans="1:38" x14ac:dyDescent="0.35">
      <c r="A16" s="119">
        <f>IF(OR('Tabella Pesi'!H15=Engine!$G$48,'Tabella Pesi'!H15=Engine!$H$48,'Tabella Pesi'!H15=Engine!$J$48),1,0)</f>
        <v>0</v>
      </c>
      <c r="B16" s="132" t="str" cm="1">
        <f t="array" ref="B16">IFERROR(INDEX('Tabella Pesi'!$B$2:$B$16, SMALL(IF(1=$A$3:$A$17, ROW('Tabella Pesi'!$B$2:$B$16)-1,""), ROW()-2)),"")</f>
        <v/>
      </c>
      <c r="C16" s="164" t="str">
        <f>IF(B16="","",_xlfn.XLOOKUP(B16,'Val. Maturità'!$B$4:$B$18,'Val. Maturità'!$C$4:$C$18))</f>
        <v/>
      </c>
      <c r="D16" s="176" t="str" cm="1">
        <f t="array" ref="D16">IF(B16="","",IF(INDEX('Tabella Pesi'!$A$1:$Q$16,_xlfn.XMATCH(B16,'Tabella Pesi'!$B$1:$B$16),COLUMN('Tabella Pesi'!$H$1))=Engine!G$48,Engine!G$49,IF(INDEX('Tabella Pesi'!$A$1:$Q$16,_xlfn.XMATCH(B16,'Tabella Pesi'!$B$1:$B$16),COLUMN('Tabella Pesi'!$H$1))=Engine!H$48,Engine!H$49,Engine!$J$49)))</f>
        <v/>
      </c>
      <c r="E16" s="278" t="str">
        <f>IF(C16="","",IF(C16=Engine!$B$27,"N/A",IF(C16=Engine!$B$24,1,IF(C16=Engine!$B$25,0.5,0))))</f>
        <v/>
      </c>
      <c r="F16" s="749"/>
      <c r="R16" s="135"/>
      <c r="AL16" s="254"/>
    </row>
    <row r="17" spans="1:18" ht="16" thickBot="1" x14ac:dyDescent="0.4">
      <c r="A17" s="120">
        <f>IF(OR('Tabella Pesi'!H16=Engine!$G$48,'Tabella Pesi'!H16=Engine!$H$48,'Tabella Pesi'!H16=Engine!$J$48),1,0)</f>
        <v>1</v>
      </c>
      <c r="B17" s="133" t="str" cm="1">
        <f t="array" ref="B17">IFERROR(INDEX('Tabella Pesi'!$B$2:$B$16, SMALL(IF(1=$A$3:$A$17, ROW('Tabella Pesi'!$B$2:$B$16)-1,""), ROW()-2)),"")</f>
        <v/>
      </c>
      <c r="C17" s="165" t="str">
        <f>IF(B17="","",_xlfn.XLOOKUP(B17,'Val. Maturità'!$B$4:$B$18,'Val. Maturità'!$C$4:$C$18))</f>
        <v/>
      </c>
      <c r="D17" s="177" t="str" cm="1">
        <f t="array" ref="D17">IF(B17="","",IF(INDEX('Tabella Pesi'!$A$1:$Q$16,_xlfn.XMATCH(B17,'Tabella Pesi'!$B$1:$B$16),COLUMN('Tabella Pesi'!$H$1))=Engine!G$48,Engine!G$49,IF(INDEX('Tabella Pesi'!$A$1:$Q$16,_xlfn.XMATCH(B17,'Tabella Pesi'!$B$1:$B$16),COLUMN('Tabella Pesi'!$H$1))=Engine!H$48,Engine!H$49,Engine!$J$49)))</f>
        <v/>
      </c>
      <c r="E17" s="279" t="str">
        <f>IF(C17="","",IF(C17=Engine!$B$27,"N/A",IF(C17=Engine!$B$24,1,IF(C17=Engine!$B$25,0.5,0))))</f>
        <v/>
      </c>
      <c r="F17" s="750"/>
      <c r="R17" s="135"/>
    </row>
    <row r="18" spans="1:18" ht="16" thickBot="1" x14ac:dyDescent="0.4">
      <c r="A18" s="140"/>
      <c r="B18" s="137"/>
      <c r="C18" s="137"/>
      <c r="D18" s="137"/>
      <c r="E18" s="137"/>
      <c r="F18" s="137"/>
      <c r="G18" s="137"/>
      <c r="H18" s="137"/>
      <c r="I18" s="137"/>
      <c r="J18" s="137"/>
      <c r="K18" s="137"/>
      <c r="L18" s="137"/>
      <c r="M18" s="137"/>
      <c r="N18" s="137"/>
      <c r="O18" s="137"/>
      <c r="P18" s="137"/>
      <c r="Q18" s="137"/>
      <c r="R18" s="139"/>
    </row>
    <row r="19" spans="1:18" x14ac:dyDescent="0.35"/>
    <row r="20" spans="1:18" x14ac:dyDescent="0.35"/>
    <row r="21" spans="1:18" x14ac:dyDescent="0.35"/>
    <row r="22" spans="1:18" x14ac:dyDescent="0.35"/>
    <row r="23" spans="1:18" x14ac:dyDescent="0.35"/>
    <row r="24" spans="1:18" x14ac:dyDescent="0.35"/>
    <row r="25" spans="1:18" x14ac:dyDescent="0.35"/>
    <row r="26" spans="1:18" x14ac:dyDescent="0.35"/>
    <row r="27" spans="1:18" x14ac:dyDescent="0.35"/>
    <row r="28" spans="1:18" x14ac:dyDescent="0.35"/>
    <row r="29" spans="1:18" x14ac:dyDescent="0.35"/>
    <row r="30" spans="1:18" x14ac:dyDescent="0.35"/>
    <row r="31" spans="1:18" x14ac:dyDescent="0.35"/>
    <row r="32" spans="1:18" x14ac:dyDescent="0.35"/>
    <row r="33" spans="36:36" x14ac:dyDescent="0.35"/>
    <row r="34" spans="36:36" x14ac:dyDescent="0.35"/>
    <row r="35" spans="36:36" x14ac:dyDescent="0.35"/>
    <row r="36" spans="36:36" x14ac:dyDescent="0.35"/>
    <row r="37" spans="36:36" x14ac:dyDescent="0.35"/>
    <row r="38" spans="36:36" x14ac:dyDescent="0.35"/>
    <row r="39" spans="36:36" x14ac:dyDescent="0.35"/>
    <row r="40" spans="36:36" x14ac:dyDescent="0.35"/>
    <row r="41" spans="36:36" x14ac:dyDescent="0.35"/>
    <row r="42" spans="36:36" x14ac:dyDescent="0.35"/>
    <row r="43" spans="36:36" x14ac:dyDescent="0.35"/>
    <row r="44" spans="36:36" x14ac:dyDescent="0.35"/>
    <row r="45" spans="36:36" x14ac:dyDescent="0.35"/>
    <row r="46" spans="36:36" x14ac:dyDescent="0.35"/>
    <row r="47" spans="36:36" x14ac:dyDescent="0.35">
      <c r="AJ47" s="254"/>
    </row>
    <row r="48" spans="36:36" x14ac:dyDescent="0.35"/>
    <row r="49" x14ac:dyDescent="0.35"/>
    <row r="50" x14ac:dyDescent="0.35"/>
  </sheetData>
  <sheetProtection algorithmName="SHA-512" hashValue="WndZpPBakbDrWpZrzru/VvZ07qaajvnl2dVQDir2wkqtWUcvlmvNiTMeZuPt3Gq/LzySQia+awk/BO1vxGzAQQ==" saltValue="0o2boavtsFdszYN6hJHA8Q==" spinCount="100000" sheet="1" objects="1" scenarios="1" selectLockedCells="1" selectUnlockedCells="1"/>
  <mergeCells count="4">
    <mergeCell ref="A1:R1"/>
    <mergeCell ref="I3:L3"/>
    <mergeCell ref="F3:F17"/>
    <mergeCell ref="I5:L5"/>
  </mergeCells>
  <conditionalFormatting sqref="AM16:AN16">
    <cfRule type="colorScale" priority="3">
      <colorScale>
        <cfvo type="num" val="0"/>
        <cfvo type="num" val="0.5"/>
        <cfvo type="num" val="1"/>
        <color rgb="FF00B050"/>
        <color rgb="FFFFEB84"/>
        <color theme="5"/>
      </colorScale>
    </cfRule>
  </conditionalFormatting>
  <dataValidations count="1">
    <dataValidation type="list" allowBlank="1" showInputMessage="1" showErrorMessage="1" sqref="P3" xr:uid="{5FFF21E1-CCAC-4316-BF41-D771468B6A6C}">
      <formula1>"0,1,2,3,4,5,6,7,8,9,10"</formula1>
    </dataValidation>
  </dataValidation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" id="{5765477E-43E6-471F-8E15-E73FB0BE0AC8}">
            <xm:f>COUNTA(B3:B17)-COUNTIFS(B3:B17,"")&lt;&gt;'Tabella Pesi'!$H$17</xm:f>
            <x14:dxf>
              <fill>
                <patternFill>
                  <bgColor rgb="FFFF0000"/>
                </patternFill>
              </fill>
            </x14:dxf>
          </x14:cfRule>
          <xm:sqref>B2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BFB6F9-C24E-4388-901A-9E4CA973FDA7}">
  <sheetPr codeName="Foglio11">
    <tabColor theme="9"/>
  </sheetPr>
  <dimension ref="A1:AS50"/>
  <sheetViews>
    <sheetView showGridLines="0" topLeftCell="B1" zoomScale="60" zoomScaleNormal="60" workbookViewId="0">
      <selection activeCell="B1" sqref="A1:XFD1048576"/>
    </sheetView>
  </sheetViews>
  <sheetFormatPr defaultColWidth="0" defaultRowHeight="15.5" zeroHeight="1" outlineLevelCol="1" x14ac:dyDescent="0.35"/>
  <cols>
    <col min="1" max="1" width="4.81640625" style="18" hidden="1" customWidth="1" outlineLevel="1"/>
    <col min="2" max="2" width="75.08984375" style="18" customWidth="1" collapsed="1"/>
    <col min="3" max="3" width="8.81640625" style="18" customWidth="1"/>
    <col min="4" max="4" width="6.54296875" style="18" hidden="1" customWidth="1" outlineLevel="1"/>
    <col min="5" max="5" width="8.81640625" style="18" hidden="1" customWidth="1" outlineLevel="1"/>
    <col min="6" max="6" width="11" style="18" bestFit="1" customWidth="1" collapsed="1"/>
    <col min="7" max="28" width="8.81640625" style="18" customWidth="1"/>
    <col min="29" max="45" width="8.81640625" customWidth="1"/>
    <col min="46" max="16384" width="8.81640625" hidden="1"/>
  </cols>
  <sheetData>
    <row r="1" spans="1:41" ht="24" customHeight="1" thickBot="1" x14ac:dyDescent="0.4">
      <c r="A1" s="754" t="s">
        <v>38</v>
      </c>
      <c r="B1" s="755"/>
      <c r="C1" s="755"/>
      <c r="D1" s="755"/>
      <c r="E1" s="755"/>
      <c r="F1" s="755"/>
      <c r="G1" s="755"/>
      <c r="H1" s="755"/>
      <c r="I1" s="755"/>
      <c r="J1" s="755"/>
      <c r="K1" s="755"/>
      <c r="L1" s="755"/>
      <c r="M1" s="755"/>
      <c r="N1" s="755"/>
      <c r="O1" s="755"/>
      <c r="P1" s="755"/>
      <c r="Q1" s="755"/>
      <c r="R1" s="756"/>
    </row>
    <row r="2" spans="1:41" ht="16" thickBot="1" x14ac:dyDescent="0.4">
      <c r="A2" s="141"/>
      <c r="B2"/>
      <c r="C2"/>
      <c r="D2"/>
      <c r="E2"/>
      <c r="R2" s="135"/>
      <c r="AM2" s="716"/>
      <c r="AN2" s="716"/>
      <c r="AO2" s="716"/>
    </row>
    <row r="3" spans="1:41" ht="41.5" customHeight="1" thickBot="1" x14ac:dyDescent="0.4">
      <c r="A3" s="118">
        <f>IF(OR('Tabella Pesi'!I2=Engine!$G$48,'Tabella Pesi'!I2=Engine!$H$48,'Tabella Pesi'!I2=Engine!$J$48),1,0)</f>
        <v>1</v>
      </c>
      <c r="B3" s="131" t="str" cm="1">
        <f t="array" ref="B3">IFERROR(INDEX('Tabella Pesi'!$B$2:$B$16, SMALL(IF(1=$A$3:$A$17, ROW('Tabella Pesi'!$B$2:$B$16)-1,""), ROW()-2)),"")</f>
        <v>Esiste ed è mantenuto aggiornato un inventario dei sistemi, dispositivi, software, servizi e applicazioni informatiche in uso all’interno del perimetro aziendale.</v>
      </c>
      <c r="C3" s="163">
        <f>IF(B3="","",_xlfn.XLOOKUP(B3,'Val. Maturità'!$B$4:$B$18,'Val. Maturità'!$C$4:$C$18))</f>
        <v>0</v>
      </c>
      <c r="D3" s="172" cm="1">
        <f t="array" ref="D3">IF(B3="","",IF(INDEX('Tabella Pesi'!$A$1:$Q$16,_xlfn.XMATCH(B3,'Tabella Pesi'!$B$1:$B$16),COLUMN('Tabella Pesi'!$I$1))=Engine!G$48,Engine!G$49,IF(INDEX('Tabella Pesi'!$A$1:$Q$16,_xlfn.XMATCH(B3,'Tabella Pesi'!$B$1:$B$16),COLUMN('Tabella Pesi'!$I$1))=Engine!H$48,Engine!H$49,Engine!$J$49)))</f>
        <v>1</v>
      </c>
      <c r="E3" s="277">
        <f>IF(C3="","",IF(C3=Engine!$B$27,"N/A",IF(C3=Engine!$B$24,1,IF(C3=Engine!$B$25,0.5,0))))</f>
        <v>0</v>
      </c>
      <c r="F3" s="757" cm="1">
        <f t="array" ref="F3">(SUMPRODUCT(--(E3:E17&lt;&gt;"N/A"),E3:E17,D3:D17)/SUMIF(E3:E17,"&lt;&gt;N/A",D3:D17))*10</f>
        <v>0</v>
      </c>
      <c r="H3" s="20"/>
      <c r="I3" s="723" t="s">
        <v>296</v>
      </c>
      <c r="J3" s="724"/>
      <c r="K3" s="724"/>
      <c r="L3" s="725"/>
      <c r="M3" s="115" t="e">
        <f>Engine!$H$58+((Engine!$D$57-Engine!$H$58)/(1+Engine!$D$58*EXP(-Engine!$H$57*(F3-Engine!$F$57)))^(1/Engine!$F$58))</f>
        <v>#VALUE!</v>
      </c>
      <c r="N3"/>
      <c r="O3"/>
      <c r="P3"/>
      <c r="Q3" s="20"/>
      <c r="R3" s="135"/>
    </row>
    <row r="4" spans="1:41" ht="31.5" thickBot="1" x14ac:dyDescent="0.4">
      <c r="A4" s="119">
        <f>IF(OR('Tabella Pesi'!I3=Engine!$G$48,'Tabella Pesi'!I3=Engine!$H$48,'Tabella Pesi'!I3=Engine!$J$48),1,0)</f>
        <v>0</v>
      </c>
      <c r="B4" s="132" t="str" cm="1">
        <f t="array" ref="B4">IFERROR(INDEX('Tabella Pesi'!$B$2:$B$16, SMALL(IF(1=$A$3:$A$17, ROW('Tabella Pesi'!$B$2:$B$16)-1,""), ROW()-2)),"")</f>
        <v>Sono individuate le informazioni, i dati e i sistemi critici per l’azienda affinché siano adeguatamente protetti.</v>
      </c>
      <c r="C4" s="164">
        <f>IF(B4="","",_xlfn.XLOOKUP(B4,'Val. Maturità'!$B$4:$B$18,'Val. Maturità'!$C$4:$C$18))</f>
        <v>0</v>
      </c>
      <c r="D4" s="173" cm="1">
        <f t="array" ref="D4">IF(B4="","",IF(INDEX('Tabella Pesi'!$A$1:$Q$16,_xlfn.XMATCH(B4,'Tabella Pesi'!$B$1:$B$16),COLUMN('Tabella Pesi'!$I$1))=Engine!G$48,Engine!G$49,IF(INDEX('Tabella Pesi'!$A$1:$Q$16,_xlfn.XMATCH(B4,'Tabella Pesi'!$B$1:$B$16),COLUMN('Tabella Pesi'!$I$1))=Engine!H$48,Engine!H$49,Engine!$J$49)))</f>
        <v>1</v>
      </c>
      <c r="E4" s="278">
        <f>IF(C4="","",IF(C4=Engine!$B$27,"N/A",IF(C4=Engine!$B$24,1,IF(C4=Engine!$B$25,0.5,0))))</f>
        <v>0</v>
      </c>
      <c r="F4" s="758"/>
      <c r="H4" s="20"/>
      <c r="I4" s="20"/>
      <c r="J4" s="20"/>
      <c r="K4" s="20"/>
      <c r="L4" s="20"/>
      <c r="M4" s="20"/>
      <c r="N4" s="20"/>
      <c r="O4" s="20"/>
      <c r="P4" s="20"/>
      <c r="Q4" s="20"/>
      <c r="R4" s="135"/>
    </row>
    <row r="5" spans="1:41" ht="43.5" customHeight="1" thickBot="1" x14ac:dyDescent="0.4">
      <c r="A5" s="119">
        <f>IF(OR('Tabella Pesi'!I4=Engine!$G$48,'Tabella Pesi'!I4=Engine!$H$48,'Tabella Pesi'!I4=Engine!$J$48),1,0)</f>
        <v>1</v>
      </c>
      <c r="B5" s="132" t="str" cm="1">
        <f t="array" ref="B5">IFERROR(INDEX('Tabella Pesi'!$B$2:$B$16, SMALL(IF(1=$A$3:$A$17, ROW('Tabella Pesi'!$B$2:$B$16)-1,""), ROW()-2)),"")</f>
        <v>Sono identificate e rispettate le leggi e/o i regolamenti con rilevanza in tema di cybersecurity che risultino applicabili per l’azienda.</v>
      </c>
      <c r="C5" s="164">
        <f>IF(B5="","",_xlfn.XLOOKUP(B5,'Val. Maturità'!$B$4:$B$18,'Val. Maturità'!$C$4:$C$18))</f>
        <v>0</v>
      </c>
      <c r="D5" s="173" cm="1">
        <f t="array" ref="D5">IF(B5="","",IF(INDEX('Tabella Pesi'!$A$1:$Q$16,_xlfn.XMATCH(B5,'Tabella Pesi'!$B$1:$B$16),COLUMN('Tabella Pesi'!$I$1))=Engine!G$48,Engine!G$49,IF(INDEX('Tabella Pesi'!$A$1:$Q$16,_xlfn.XMATCH(B5,'Tabella Pesi'!$B$1:$B$16),COLUMN('Tabella Pesi'!$I$1))=Engine!H$48,Engine!H$49,Engine!$J$49)))</f>
        <v>1</v>
      </c>
      <c r="E5" s="278">
        <f>IF(C5="","",IF(C5=Engine!$B$27,"N/A",IF(C5=Engine!$B$24,1,IF(C5=Engine!$B$25,0.5,0))))</f>
        <v>0</v>
      </c>
      <c r="F5" s="758"/>
      <c r="H5" s="20"/>
      <c r="I5" s="720" t="s">
        <v>88</v>
      </c>
      <c r="J5" s="721"/>
      <c r="K5" s="721"/>
      <c r="L5" s="722"/>
      <c r="M5" s="255" t="e">
        <f>M3*'Val. Maturità'!Q5</f>
        <v>#VALUE!</v>
      </c>
      <c r="N5" s="20"/>
      <c r="O5"/>
      <c r="P5"/>
      <c r="Q5" s="20"/>
      <c r="R5" s="135"/>
    </row>
    <row r="6" spans="1:41" ht="31" x14ac:dyDescent="0.35">
      <c r="A6" s="119">
        <f>IF(OR('Tabella Pesi'!I5=Engine!$G$48,'Tabella Pesi'!I5=Engine!$H$48,'Tabella Pesi'!I5=Engine!$J$48),1,0)</f>
        <v>0</v>
      </c>
      <c r="B6" s="132" t="str" cm="1">
        <f t="array" ref="B6">IFERROR(INDEX('Tabella Pesi'!$B$2:$B$16, SMALL(IF(1=$A$3:$A$17, ROW('Tabella Pesi'!$B$2:$B$16)-1,""), ROW()-2)),"")</f>
        <v>Le password sono diverse per ogni account, della complessità adeguata e viene valutato l’utilizzo dei sistemi di autenticazione più sicuri offerti dal provider del servizio (es. autenticazione a due fattori).</v>
      </c>
      <c r="C6" s="164">
        <f>IF(B6="","",_xlfn.XLOOKUP(B6,'Val. Maturità'!$B$4:$B$18,'Val. Maturità'!$C$4:$C$18))</f>
        <v>0</v>
      </c>
      <c r="D6" s="173" cm="1">
        <f t="array" ref="D6">IF(B6="","",IF(INDEX('Tabella Pesi'!$A$1:$Q$16,_xlfn.XMATCH(B6,'Tabella Pesi'!$B$1:$B$16),COLUMN('Tabella Pesi'!$I$1))=Engine!G$48,Engine!G$49,IF(INDEX('Tabella Pesi'!$A$1:$Q$16,_xlfn.XMATCH(B6,'Tabella Pesi'!$B$1:$B$16),COLUMN('Tabella Pesi'!$I$1))=Engine!H$48,Engine!H$49,Engine!$J$49)))</f>
        <v>1</v>
      </c>
      <c r="E6" s="278">
        <f>IF(C6="","",IF(C6=Engine!$B$27,"N/A",IF(C6=Engine!$B$24,1,IF(C6=Engine!$B$25,0.5,0))))</f>
        <v>0</v>
      </c>
      <c r="F6" s="758"/>
      <c r="R6" s="135"/>
    </row>
    <row r="7" spans="1:41" ht="77.5" x14ac:dyDescent="0.35">
      <c r="A7" s="119">
        <f>IF(OR('Tabella Pesi'!I6=Engine!$G$48,'Tabella Pesi'!I6=Engine!$H$48,'Tabella Pesi'!I6=Engine!$J$48),1,0)</f>
        <v>1</v>
      </c>
      <c r="B7" s="132" t="str" cm="1">
        <f t="array" ref="B7">IFERROR(INDEX('Tabella Pesi'!$B$2:$B$16, SMALL(IF(1=$A$3:$A$17, ROW('Tabella Pesi'!$B$2:$B$16)-1,""), ROW()-2)),"")</f>
        <v>Il personale autorizzato all’accesso, remoto o locale, ai servizi informatici dispone di utenze personali non condivise con altri; l’accesso è opportunamente protetto; i vecchi account non più utilizzati sono disattivati.</v>
      </c>
      <c r="C7" s="164">
        <f>IF(B7="","",_xlfn.XLOOKUP(B7,'Val. Maturità'!$B$4:$B$18,'Val. Maturità'!$C$4:$C$18))</f>
        <v>0</v>
      </c>
      <c r="D7" s="173" cm="1">
        <f t="array" ref="D7">IF(B7="","",IF(INDEX('Tabella Pesi'!$A$1:$Q$16,_xlfn.XMATCH(B7,'Tabella Pesi'!$B$1:$B$16),COLUMN('Tabella Pesi'!$I$1))=Engine!G$48,Engine!G$49,IF(INDEX('Tabella Pesi'!$A$1:$Q$16,_xlfn.XMATCH(B7,'Tabella Pesi'!$B$1:$B$16),COLUMN('Tabella Pesi'!$I$1))=Engine!H$48,Engine!H$49,Engine!$J$49)))</f>
        <v>1</v>
      </c>
      <c r="E7" s="278">
        <f>IF(C7="","",IF(C7=Engine!$B$27,"N/A",IF(C7=Engine!$B$24,1,IF(C7=Engine!$B$25,0.5,0))))</f>
        <v>0</v>
      </c>
      <c r="F7" s="758"/>
      <c r="R7" s="135"/>
    </row>
    <row r="8" spans="1:41" ht="46.5" x14ac:dyDescent="0.35">
      <c r="A8" s="119">
        <f>IF(OR('Tabella Pesi'!I7=Engine!$G$48,'Tabella Pesi'!I7=Engine!$H$48,'Tabella Pesi'!I7=Engine!$J$48),1,0)</f>
        <v>0</v>
      </c>
      <c r="B8" s="132" t="str" cm="1">
        <f t="array" ref="B8">IFERROR(INDEX('Tabella Pesi'!$B$2:$B$16, SMALL(IF(1=$A$3:$A$17, ROW('Tabella Pesi'!$B$2:$B$16)-1,""), ROW()-2)),"")</f>
        <v>Ogni utente può accedere solo alle informazioni e ai sistemi di cui necessita e/o di sua competenza.</v>
      </c>
      <c r="C8" s="164">
        <f>IF(B8="","",_xlfn.XLOOKUP(B8,'Val. Maturità'!$B$4:$B$18,'Val. Maturità'!$C$4:$C$18))</f>
        <v>0</v>
      </c>
      <c r="D8" s="173" cm="1">
        <f t="array" ref="D8">IF(B8="","",IF(INDEX('Tabella Pesi'!$A$1:$Q$16,_xlfn.XMATCH(B8,'Tabella Pesi'!$B$1:$B$16),COLUMN('Tabella Pesi'!$I$1))=Engine!G$48,Engine!G$49,IF(INDEX('Tabella Pesi'!$A$1:$Q$16,_xlfn.XMATCH(B8,'Tabella Pesi'!$B$1:$B$16),COLUMN('Tabella Pesi'!$I$1))=Engine!H$48,Engine!H$49,Engine!$J$49)))</f>
        <v>1</v>
      </c>
      <c r="E8" s="278">
        <f>IF(C8="","",IF(C8=Engine!$B$27,"N/A",IF(C8=Engine!$B$24,1,IF(C8=Engine!$B$25,0.5,0))))</f>
        <v>0</v>
      </c>
      <c r="F8" s="758"/>
      <c r="R8" s="135"/>
    </row>
    <row r="9" spans="1:41" ht="46.5" x14ac:dyDescent="0.35">
      <c r="A9" s="119">
        <f>IF(OR('Tabella Pesi'!I8=Engine!$G$48,'Tabella Pesi'!I8=Engine!$H$48,'Tabella Pesi'!I8=Engine!$J$48),1,0)</f>
        <v>1</v>
      </c>
      <c r="B9" s="132" t="str" cm="1">
        <f t="array" ref="B9">IFERROR(INDEX('Tabella Pesi'!$B$2:$B$16, SMALL(IF(1=$A$3:$A$17, ROW('Tabella Pesi'!$B$2:$B$16)-1,""), ROW()-2)),"")</f>
        <v>Il personale è adeguatamente sensibilizzato e formato sui rischi di cybersecurity e sulle pratiche da adottare per l’impiego sicuro degli strumenti aziendali (es. riconoscere allegati e-mail, utilizzare solo software autorizzato,...). I vertici aziendali hanno cura di predisporre per tutto il personale aziendale la formazione necessaria a fornire almeno le nozioni basilari di sicurezza.</v>
      </c>
      <c r="C9" s="164">
        <f>IF(B9="","",_xlfn.XLOOKUP(B9,'Val. Maturità'!$B$4:$B$18,'Val. Maturità'!$C$4:$C$18))</f>
        <v>0</v>
      </c>
      <c r="D9" s="173" cm="1">
        <f t="array" ref="D9">IF(B9="","",IF(INDEX('Tabella Pesi'!$A$1:$Q$16,_xlfn.XMATCH(B9,'Tabella Pesi'!$B$1:$B$16),COLUMN('Tabella Pesi'!$I$1))=Engine!G$48,Engine!G$49,IF(INDEX('Tabella Pesi'!$A$1:$Q$16,_xlfn.XMATCH(B9,'Tabella Pesi'!$B$1:$B$16),COLUMN('Tabella Pesi'!$I$1))=Engine!H$48,Engine!H$49,Engine!$J$49)))</f>
        <v>1</v>
      </c>
      <c r="E9" s="278">
        <f>IF(C9="","",IF(C9=Engine!$B$27,"N/A",IF(C9=Engine!$B$24,1,IF(C9=Engine!$B$25,0.5,0))))</f>
        <v>0</v>
      </c>
      <c r="F9" s="758"/>
      <c r="R9" s="135"/>
    </row>
    <row r="10" spans="1:41" ht="31" x14ac:dyDescent="0.35">
      <c r="A10" s="119">
        <f>IF(OR('Tabella Pesi'!I9=Engine!$G$48,'Tabella Pesi'!I9=Engine!$H$48,'Tabella Pesi'!I9=Engine!$J$48),1,0)</f>
        <v>1</v>
      </c>
      <c r="B10" s="132" t="str" cm="1">
        <f t="array" ref="B10">IFERROR(INDEX('Tabella Pesi'!$B$2:$B$16, SMALL(IF(1=$A$3:$A$17, ROW('Tabella Pesi'!$B$2:$B$16)-1,""), ROW()-2)),"")</f>
        <v>La configurazione iniziale di tutti i sistemi e dispositivi è svolta da personale esperto, responsabile per la configurazione sicura degli stessi. Le credenziali di accesso di default sono sempre sostituite.</v>
      </c>
      <c r="C10" s="164">
        <f>IF(B10="","",_xlfn.XLOOKUP(B10,'Val. Maturità'!$B$4:$B$18,'Val. Maturità'!$C$4:$C$18))</f>
        <v>0</v>
      </c>
      <c r="D10" s="173" cm="1">
        <f t="array" ref="D10">IF(B10="","",IF(INDEX('Tabella Pesi'!$A$1:$Q$16,_xlfn.XMATCH(B10,'Tabella Pesi'!$B$1:$B$16),COLUMN('Tabella Pesi'!$I$1))=Engine!G$48,Engine!G$49,IF(INDEX('Tabella Pesi'!$A$1:$Q$16,_xlfn.XMATCH(B10,'Tabella Pesi'!$B$1:$B$16),COLUMN('Tabella Pesi'!$I$1))=Engine!H$48,Engine!H$49,Engine!$J$49)))</f>
        <v>1</v>
      </c>
      <c r="E10" s="278">
        <f>IF(C10="","",IF(C10=Engine!$B$27,"N/A",IF(C10=Engine!$B$24,1,IF(C10=Engine!$B$25,0.5,0))))</f>
        <v>0</v>
      </c>
      <c r="F10" s="758"/>
      <c r="R10" s="135"/>
    </row>
    <row r="11" spans="1:41" ht="46.5" x14ac:dyDescent="0.35">
      <c r="A11" s="119">
        <f>IF(OR('Tabella Pesi'!I10=Engine!$G$48,'Tabella Pesi'!I10=Engine!$H$48,'Tabella Pesi'!I10=Engine!$J$48),1,0)</f>
        <v>1</v>
      </c>
      <c r="B11" s="132" t="str" cm="1">
        <f t="array" ref="B11">IFERROR(INDEX('Tabella Pesi'!$B$2:$B$16, SMALL(IF(1=$A$3:$A$17, ROW('Tabella Pesi'!$B$2:$B$16)-1,""), ROW()-2)),"")</f>
        <v>Le reti e i sistemi sono protetti da accessi non autorizzati attraverso strumenti specifici (es: Firewall e altri dispositivi/software anti-intrusione).</v>
      </c>
      <c r="C11" s="164">
        <f>IF(B11="","",_xlfn.XLOOKUP(B11,'Val. Maturità'!$B$4:$B$18,'Val. Maturità'!$C$4:$C$18))</f>
        <v>0</v>
      </c>
      <c r="D11" s="173" cm="1">
        <f t="array" ref="D11">IF(B11="","",IF(INDEX('Tabella Pesi'!$A$1:$Q$16,_xlfn.XMATCH(B11,'Tabella Pesi'!$B$1:$B$16),COLUMN('Tabella Pesi'!$I$1))=Engine!G$48,Engine!G$49,IF(INDEX('Tabella Pesi'!$A$1:$Q$16,_xlfn.XMATCH(B11,'Tabella Pesi'!$B$1:$B$16),COLUMN('Tabella Pesi'!$I$1))=Engine!H$48,Engine!H$49,Engine!$J$49)))</f>
        <v>1</v>
      </c>
      <c r="E11" s="278">
        <f>IF(C11="","",IF(C11=Engine!$B$27,"N/A",IF(C11=Engine!$B$24,1,IF(C11=Engine!$B$25,0.5,0))))</f>
        <v>0</v>
      </c>
      <c r="F11" s="758"/>
      <c r="R11" s="135"/>
    </row>
    <row r="12" spans="1:41" x14ac:dyDescent="0.35">
      <c r="A12" s="119">
        <f>IF(OR('Tabella Pesi'!I11=Engine!$G$48,'Tabella Pesi'!I11=Engine!$H$48,'Tabella Pesi'!I11=Engine!$J$48),1,0)</f>
        <v>1</v>
      </c>
      <c r="B12" s="132" t="str" cm="1">
        <f t="array" ref="B12">IFERROR(INDEX('Tabella Pesi'!$B$2:$B$16, SMALL(IF(1=$A$3:$A$17, ROW('Tabella Pesi'!$B$2:$B$16)-1,""), ROW()-2)),"")</f>
        <v>In caso di incidente (es. venga rilevato un attacco o un malware) vengono informati i responsabili della sicurezza e i sistemi vengono messi in sicurezza da personale esperto.</v>
      </c>
      <c r="C12" s="164">
        <f>IF(B12="","",_xlfn.XLOOKUP(B12,'Val. Maturità'!$B$4:$B$18,'Val. Maturità'!$C$4:$C$18))</f>
        <v>0</v>
      </c>
      <c r="D12" s="173" cm="1">
        <f t="array" ref="D12">IF(B12="","",IF(INDEX('Tabella Pesi'!$A$1:$Q$16,_xlfn.XMATCH(B12,'Tabella Pesi'!$B$1:$B$16),COLUMN('Tabella Pesi'!$I$1))=Engine!G$48,Engine!G$49,IF(INDEX('Tabella Pesi'!$A$1:$Q$16,_xlfn.XMATCH(B12,'Tabella Pesi'!$B$1:$B$16),COLUMN('Tabella Pesi'!$I$1))=Engine!H$48,Engine!H$49,Engine!$J$49)))</f>
        <v>1</v>
      </c>
      <c r="E12" s="278">
        <f>IF(C12="","",IF(C12=Engine!$B$27,"N/A",IF(C12=Engine!$B$24,1,IF(C12=Engine!$B$25,0.5,0))))</f>
        <v>0</v>
      </c>
      <c r="F12" s="758"/>
      <c r="R12" s="135"/>
    </row>
    <row r="13" spans="1:41" x14ac:dyDescent="0.35">
      <c r="A13" s="119">
        <f>IF(OR('Tabella Pesi'!I12=Engine!$G$48,'Tabella Pesi'!I12=Engine!$H$48,'Tabella Pesi'!I12=Engine!$J$48),1,0)</f>
        <v>1</v>
      </c>
      <c r="B13" s="132" t="str" cm="1">
        <f t="array" ref="B13">IFERROR(INDEX('Tabella Pesi'!$B$2:$B$16, SMALL(IF(1=$A$3:$A$17, ROW('Tabella Pesi'!$B$2:$B$16)-1,""), ROW()-2)),"")</f>
        <v/>
      </c>
      <c r="C13" s="164" t="str">
        <f>IF(B13="","",_xlfn.XLOOKUP(B13,'Val. Maturità'!$B$4:$B$18,'Val. Maturità'!$C$4:$C$18))</f>
        <v/>
      </c>
      <c r="D13" s="173" t="str" cm="1">
        <f t="array" ref="D13">IF(B13="","",IF(INDEX('Tabella Pesi'!$A$1:$Q$16,_xlfn.XMATCH(B13,'Tabella Pesi'!$B$1:$B$16),COLUMN('Tabella Pesi'!$I$1))=Engine!G$48,Engine!G$49,IF(INDEX('Tabella Pesi'!$A$1:$Q$16,_xlfn.XMATCH(B13,'Tabella Pesi'!$B$1:$B$16),COLUMN('Tabella Pesi'!$I$1))=Engine!H$48,Engine!H$49,Engine!$J$49)))</f>
        <v/>
      </c>
      <c r="E13" s="278" t="str">
        <f>IF(C13="","",IF(C13=Engine!$B$27,"N/A",IF(C13=Engine!$B$24,1,IF(C13=Engine!$B$25,0.5,0))))</f>
        <v/>
      </c>
      <c r="F13" s="758"/>
      <c r="R13" s="135"/>
    </row>
    <row r="14" spans="1:41" x14ac:dyDescent="0.35">
      <c r="A14" s="119">
        <f>IF(OR('Tabella Pesi'!I13=Engine!$G$48,'Tabella Pesi'!I13=Engine!$H$48,'Tabella Pesi'!I13=Engine!$J$48),1,0)</f>
        <v>0</v>
      </c>
      <c r="B14" s="132" t="str" cm="1">
        <f t="array" ref="B14">IFERROR(INDEX('Tabella Pesi'!$B$2:$B$16, SMALL(IF(1=$A$3:$A$17, ROW('Tabella Pesi'!$B$2:$B$16)-1,""), ROW()-2)),"")</f>
        <v/>
      </c>
      <c r="C14" s="164" t="str">
        <f>IF(B14="","",_xlfn.XLOOKUP(B14,'Val. Maturità'!$B$4:$B$18,'Val. Maturità'!$C$4:$C$18))</f>
        <v/>
      </c>
      <c r="D14" s="173" t="str" cm="1">
        <f t="array" ref="D14">IF(B14="","",IF(INDEX('Tabella Pesi'!$A$1:$Q$16,_xlfn.XMATCH(B14,'Tabella Pesi'!$B$1:$B$16),COLUMN('Tabella Pesi'!$I$1))=Engine!G$48,Engine!G$49,IF(INDEX('Tabella Pesi'!$A$1:$Q$16,_xlfn.XMATCH(B14,'Tabella Pesi'!$B$1:$B$16),COLUMN('Tabella Pesi'!$I$1))=Engine!H$48,Engine!H$49,Engine!$J$49)))</f>
        <v/>
      </c>
      <c r="E14" s="278" t="str">
        <f>IF(C14="","",IF(C14=Engine!$B$27,"N/A",IF(C14=Engine!$B$24,1,IF(C14=Engine!$B$25,0.5,0))))</f>
        <v/>
      </c>
      <c r="F14" s="758"/>
      <c r="R14" s="135"/>
    </row>
    <row r="15" spans="1:41" x14ac:dyDescent="0.35">
      <c r="A15" s="119">
        <f>IF(OR('Tabella Pesi'!I14=Engine!$G$48,'Tabella Pesi'!I14=Engine!$H$48,'Tabella Pesi'!I14=Engine!$J$48),1,0)</f>
        <v>1</v>
      </c>
      <c r="B15" s="132" t="str" cm="1">
        <f t="array" ref="B15">IFERROR(INDEX('Tabella Pesi'!$B$2:$B$16, SMALL(IF(1=$A$3:$A$17, ROW('Tabella Pesi'!$B$2:$B$16)-1,""), ROW()-2)),"")</f>
        <v/>
      </c>
      <c r="C15" s="164" t="str">
        <f>IF(B15="","",_xlfn.XLOOKUP(B15,'Val. Maturità'!$B$4:$B$18,'Val. Maturità'!$C$4:$C$18))</f>
        <v/>
      </c>
      <c r="D15" s="173" t="str" cm="1">
        <f t="array" ref="D15">IF(B15="","",IF(INDEX('Tabella Pesi'!$A$1:$Q$16,_xlfn.XMATCH(B15,'Tabella Pesi'!$B$1:$B$16),COLUMN('Tabella Pesi'!$I$1))=Engine!G$48,Engine!G$49,IF(INDEX('Tabella Pesi'!$A$1:$Q$16,_xlfn.XMATCH(B15,'Tabella Pesi'!$B$1:$B$16),COLUMN('Tabella Pesi'!$I$1))=Engine!H$48,Engine!H$49,Engine!$J$49)))</f>
        <v/>
      </c>
      <c r="E15" s="278" t="str">
        <f>IF(C15="","",IF(C15=Engine!$B$27,"N/A",IF(C15=Engine!$B$24,1,IF(C15=Engine!$B$25,0.5,0))))</f>
        <v/>
      </c>
      <c r="F15" s="758"/>
      <c r="R15" s="135"/>
    </row>
    <row r="16" spans="1:41" x14ac:dyDescent="0.35">
      <c r="A16" s="119">
        <f>IF(OR('Tabella Pesi'!I15=Engine!$G$48,'Tabella Pesi'!I15=Engine!$H$48,'Tabella Pesi'!I15=Engine!$J$48),1,0)</f>
        <v>1</v>
      </c>
      <c r="B16" s="132" t="str" cm="1">
        <f t="array" ref="B16">IFERROR(INDEX('Tabella Pesi'!$B$2:$B$16, SMALL(IF(1=$A$3:$A$17, ROW('Tabella Pesi'!$B$2:$B$16)-1,""), ROW()-2)),"")</f>
        <v/>
      </c>
      <c r="C16" s="164" t="str">
        <f>IF(B16="","",_xlfn.XLOOKUP(B16,'Val. Maturità'!$B$4:$B$18,'Val. Maturità'!$C$4:$C$18))</f>
        <v/>
      </c>
      <c r="D16" s="173" t="str" cm="1">
        <f t="array" ref="D16">IF(B16="","",IF(INDEX('Tabella Pesi'!$A$1:$Q$16,_xlfn.XMATCH(B16,'Tabella Pesi'!$B$1:$B$16),COLUMN('Tabella Pesi'!$I$1))=Engine!G$48,Engine!G$49,IF(INDEX('Tabella Pesi'!$A$1:$Q$16,_xlfn.XMATCH(B16,'Tabella Pesi'!$B$1:$B$16),COLUMN('Tabella Pesi'!$I$1))=Engine!H$48,Engine!H$49,Engine!$J$49)))</f>
        <v/>
      </c>
      <c r="E16" s="278" t="str">
        <f>IF(C16="","",IF(C16=Engine!$B$27,"N/A",IF(C16=Engine!$B$24,1,IF(C16=Engine!$B$25,0.5,0))))</f>
        <v/>
      </c>
      <c r="F16" s="758"/>
      <c r="R16" s="135"/>
      <c r="AL16" s="254"/>
    </row>
    <row r="17" spans="1:18" ht="16" thickBot="1" x14ac:dyDescent="0.4">
      <c r="A17" s="120">
        <f>IF(OR('Tabella Pesi'!I16=Engine!$G$48,'Tabella Pesi'!I16=Engine!$H$48,'Tabella Pesi'!I16=Engine!$J$48),1,0)</f>
        <v>0</v>
      </c>
      <c r="B17" s="133" t="str" cm="1">
        <f t="array" ref="B17">IFERROR(INDEX('Tabella Pesi'!$B$2:$B$16, SMALL(IF(1=$A$3:$A$17, ROW('Tabella Pesi'!$B$2:$B$16)-1,""), ROW()-2)),"")</f>
        <v/>
      </c>
      <c r="C17" s="165" t="str">
        <f>IF(B17="","",_xlfn.XLOOKUP(B17,'Val. Maturità'!$B$4:$B$18,'Val. Maturità'!$C$4:$C$18))</f>
        <v/>
      </c>
      <c r="D17" s="174" t="str" cm="1">
        <f t="array" ref="D17">IF(B17="","",IF(INDEX('Tabella Pesi'!$A$1:$Q$16,_xlfn.XMATCH(B17,'Tabella Pesi'!$B$1:$B$16),COLUMN('Tabella Pesi'!$I$1))=Engine!G$48,Engine!G$49,IF(INDEX('Tabella Pesi'!$A$1:$Q$16,_xlfn.XMATCH(B17,'Tabella Pesi'!$B$1:$B$16),COLUMN('Tabella Pesi'!$I$1))=Engine!H$48,Engine!H$49,Engine!$J$49)))</f>
        <v/>
      </c>
      <c r="E17" s="279" t="str">
        <f>IF(C17="","",IF(C17=Engine!$B$27,"N/A",IF(C17=Engine!$B$24,1,IF(C17=Engine!$B$25,0.5,0))))</f>
        <v/>
      </c>
      <c r="F17" s="759"/>
      <c r="R17" s="135"/>
    </row>
    <row r="18" spans="1:18" ht="16" thickBot="1" x14ac:dyDescent="0.4">
      <c r="A18" s="140"/>
      <c r="B18" s="137"/>
      <c r="C18" s="137"/>
      <c r="D18" s="137"/>
      <c r="E18" s="137"/>
      <c r="F18" s="137"/>
      <c r="G18" s="137"/>
      <c r="H18" s="137"/>
      <c r="I18" s="137"/>
      <c r="J18" s="137"/>
      <c r="K18" s="137"/>
      <c r="L18" s="137"/>
      <c r="M18" s="137"/>
      <c r="N18" s="137"/>
      <c r="O18" s="137"/>
      <c r="P18" s="137"/>
      <c r="Q18" s="137"/>
      <c r="R18" s="139"/>
    </row>
    <row r="19" spans="1:18" x14ac:dyDescent="0.35"/>
    <row r="20" spans="1:18" x14ac:dyDescent="0.35"/>
    <row r="21" spans="1:18" x14ac:dyDescent="0.35"/>
    <row r="22" spans="1:18" x14ac:dyDescent="0.35"/>
    <row r="23" spans="1:18" x14ac:dyDescent="0.35"/>
    <row r="24" spans="1:18" x14ac:dyDescent="0.35"/>
    <row r="25" spans="1:18" x14ac:dyDescent="0.35"/>
    <row r="26" spans="1:18" x14ac:dyDescent="0.35"/>
    <row r="27" spans="1:18" x14ac:dyDescent="0.35"/>
    <row r="28" spans="1:18" x14ac:dyDescent="0.35"/>
    <row r="29" spans="1:18" x14ac:dyDescent="0.35"/>
    <row r="30" spans="1:18" x14ac:dyDescent="0.35"/>
    <row r="31" spans="1:18" x14ac:dyDescent="0.35"/>
    <row r="32" spans="1:18" x14ac:dyDescent="0.35"/>
    <row r="33" spans="34:36" x14ac:dyDescent="0.35"/>
    <row r="34" spans="34:36" x14ac:dyDescent="0.35"/>
    <row r="35" spans="34:36" x14ac:dyDescent="0.35"/>
    <row r="36" spans="34:36" x14ac:dyDescent="0.35"/>
    <row r="37" spans="34:36" x14ac:dyDescent="0.35"/>
    <row r="38" spans="34:36" x14ac:dyDescent="0.35"/>
    <row r="39" spans="34:36" x14ac:dyDescent="0.35"/>
    <row r="40" spans="34:36" x14ac:dyDescent="0.35"/>
    <row r="41" spans="34:36" x14ac:dyDescent="0.35"/>
    <row r="42" spans="34:36" x14ac:dyDescent="0.35"/>
    <row r="43" spans="34:36" x14ac:dyDescent="0.35"/>
    <row r="44" spans="34:36" x14ac:dyDescent="0.35"/>
    <row r="45" spans="34:36" x14ac:dyDescent="0.35"/>
    <row r="46" spans="34:36" x14ac:dyDescent="0.35"/>
    <row r="47" spans="34:36" x14ac:dyDescent="0.35">
      <c r="AH47" s="716"/>
      <c r="AI47" s="716"/>
      <c r="AJ47" s="254"/>
    </row>
    <row r="48" spans="34:36" x14ac:dyDescent="0.35"/>
    <row r="49" x14ac:dyDescent="0.35"/>
    <row r="50" x14ac:dyDescent="0.35"/>
  </sheetData>
  <sheetProtection algorithmName="SHA-512" hashValue="onEi+kt6bw/NBg4WEvgxDLJ/T70w+0dIOV3GcsZxer3nZxxOsi1YaYAhEXPff+BL0qcyYOl6e0aVpj1QkiJDLA==" saltValue="xG5OY28QQUzm9Lon+zLh/w==" spinCount="100000" sheet="1" objects="1" scenarios="1" selectLockedCells="1" selectUnlockedCells="1"/>
  <mergeCells count="6">
    <mergeCell ref="A1:R1"/>
    <mergeCell ref="AM2:AO2"/>
    <mergeCell ref="AH47:AI47"/>
    <mergeCell ref="F3:F17"/>
    <mergeCell ref="I5:L5"/>
    <mergeCell ref="I3:L3"/>
  </mergeCells>
  <conditionalFormatting sqref="AM16:AN16">
    <cfRule type="colorScale" priority="3">
      <colorScale>
        <cfvo type="num" val="0"/>
        <cfvo type="num" val="0.5"/>
        <cfvo type="num" val="1"/>
        <color rgb="FF00B050"/>
        <color rgb="FFFFEB84"/>
        <color theme="5"/>
      </colorScale>
    </cfRule>
  </conditionalFormatting>
  <dataValidations count="1">
    <dataValidation type="list" allowBlank="1" showInputMessage="1" showErrorMessage="1" sqref="P3" xr:uid="{9D77AA6D-4B37-451B-8E9B-41B1F799B3CE}">
      <formula1>"0,1,2,3,4,5,6,7,8,9,10"</formula1>
    </dataValidation>
  </dataValidation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" id="{59DD554E-42AB-4651-98BB-AA129401914D}">
            <xm:f>COUNTA(B3:B17)-COUNTIFS(B3:B17,"")&lt;&gt;'Tabella Pesi'!$I$17</xm:f>
            <x14:dxf>
              <fill>
                <patternFill>
                  <bgColor rgb="FFFF0000"/>
                </patternFill>
              </fill>
            </x14:dxf>
          </x14:cfRule>
          <xm:sqref>B2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2313C4-23BA-403E-9182-26B251DCA49F}">
  <sheetPr codeName="Foglio12">
    <tabColor theme="9" tint="-0.249977111117893"/>
  </sheetPr>
  <dimension ref="A1:AS50"/>
  <sheetViews>
    <sheetView showGridLines="0" topLeftCell="B1" zoomScale="60" zoomScaleNormal="60" workbookViewId="0">
      <selection sqref="A1:R1"/>
    </sheetView>
  </sheetViews>
  <sheetFormatPr defaultColWidth="0" defaultRowHeight="15.5" zeroHeight="1" outlineLevelCol="1" x14ac:dyDescent="0.35"/>
  <cols>
    <col min="1" max="1" width="4.453125" style="18" hidden="1" customWidth="1" outlineLevel="1"/>
    <col min="2" max="2" width="75.1796875" style="18" customWidth="1" collapsed="1"/>
    <col min="3" max="3" width="8.81640625" style="18" customWidth="1"/>
    <col min="4" max="4" width="7" style="18" hidden="1" customWidth="1" outlineLevel="1"/>
    <col min="5" max="5" width="8.81640625" style="18" hidden="1" customWidth="1" outlineLevel="1"/>
    <col min="6" max="6" width="8.81640625" style="18" customWidth="1" collapsed="1"/>
    <col min="7" max="9" width="8.81640625" style="18" customWidth="1"/>
    <col min="10" max="10" width="12.6328125" style="18" bestFit="1" customWidth="1"/>
    <col min="11" max="45" width="8.81640625" style="18" customWidth="1"/>
    <col min="46" max="16384" width="8.81640625" style="18" hidden="1"/>
  </cols>
  <sheetData>
    <row r="1" spans="1:42" ht="34" customHeight="1" thickBot="1" x14ac:dyDescent="0.4">
      <c r="A1" s="760" t="s">
        <v>39</v>
      </c>
      <c r="B1" s="761"/>
      <c r="C1" s="761"/>
      <c r="D1" s="761"/>
      <c r="E1" s="761"/>
      <c r="F1" s="761"/>
      <c r="G1" s="761"/>
      <c r="H1" s="761"/>
      <c r="I1" s="761"/>
      <c r="J1" s="761"/>
      <c r="K1" s="761"/>
      <c r="L1" s="761"/>
      <c r="M1" s="761"/>
      <c r="N1" s="761"/>
      <c r="O1" s="761"/>
      <c r="P1" s="761"/>
      <c r="Q1" s="761"/>
      <c r="R1" s="762"/>
      <c r="AC1"/>
      <c r="AD1"/>
      <c r="AE1"/>
      <c r="AF1"/>
      <c r="AG1"/>
      <c r="AH1"/>
      <c r="AI1"/>
      <c r="AJ1"/>
      <c r="AK1"/>
      <c r="AL1"/>
      <c r="AM1"/>
      <c r="AN1"/>
      <c r="AO1"/>
      <c r="AP1"/>
    </row>
    <row r="2" spans="1:42" ht="16" thickBot="1" x14ac:dyDescent="0.4">
      <c r="A2" s="141"/>
      <c r="B2"/>
      <c r="C2"/>
      <c r="D2"/>
      <c r="R2" s="135"/>
      <c r="AC2"/>
      <c r="AD2"/>
      <c r="AE2"/>
      <c r="AF2"/>
      <c r="AG2"/>
      <c r="AH2"/>
      <c r="AI2"/>
      <c r="AJ2"/>
      <c r="AK2"/>
      <c r="AL2"/>
      <c r="AM2" s="716"/>
      <c r="AN2" s="716"/>
      <c r="AO2" s="716"/>
      <c r="AP2"/>
    </row>
    <row r="3" spans="1:42" ht="47" customHeight="1" thickBot="1" x14ac:dyDescent="0.4">
      <c r="A3" s="118">
        <f>IF(OR('Tabella Pesi'!J2=Engine!$G$48,'Tabella Pesi'!J2=Engine!$H$48,'Tabella Pesi'!J2=Engine!$J$48),1,0)</f>
        <v>1</v>
      </c>
      <c r="B3" s="131" t="str" cm="1">
        <f t="array" ref="B3">IFERROR(INDEX('Tabella Pesi'!$B$2:$B$16, SMALL(IF(1=$A$3:$A$17, ROW('Tabella Pesi'!$B$2:$B$16)-1,""), ROW()-2)),"")</f>
        <v>Esiste ed è mantenuto aggiornato un inventario dei sistemi, dispositivi, software, servizi e applicazioni informatiche in uso all’interno del perimetro aziendale.</v>
      </c>
      <c r="C3" s="163">
        <f>IF(B3="","",_xlfn.XLOOKUP(B3,'Val. Maturità'!$B$4:$B$18,'Val. Maturità'!$C$4:$C$18))</f>
        <v>0</v>
      </c>
      <c r="D3" s="175" cm="1">
        <f t="array" ref="D3">IF(B3="","",IF(INDEX('Tabella Pesi'!$A$1:$Q$16,_xlfn.XMATCH(B3,'Tabella Pesi'!$B$1:$B$16),COLUMN('Tabella Pesi'!$J$1))=Engine!G$48,Engine!G$49,IF(INDEX('Tabella Pesi'!$A$1:$Q$16,_xlfn.XMATCH(B3,'Tabella Pesi'!$B$1:$B$16),COLUMN('Tabella Pesi'!$J$1))=Engine!H$48,Engine!H$49,Engine!$J$49)))</f>
        <v>1</v>
      </c>
      <c r="E3" s="277">
        <f>IF(C3="","",IF(C3=Engine!$B$27,"N/A",IF(C3=Engine!$B$24,1,IF(C3=Engine!$B$25,0.5,0))))</f>
        <v>0</v>
      </c>
      <c r="F3" s="757" cm="1">
        <f t="array" ref="F3">(SUMPRODUCT(--(E3:E17&lt;&gt;"N/A"),E3:E17,D3:D17)/SUMIF(E3:E17,"&lt;&gt;N/A",D3:D17))*10</f>
        <v>0</v>
      </c>
      <c r="H3" s="20"/>
      <c r="I3" s="723" t="s">
        <v>296</v>
      </c>
      <c r="J3" s="724"/>
      <c r="K3" s="724"/>
      <c r="L3" s="725"/>
      <c r="M3" s="115" t="e">
        <f>Engine!$H$58+((Engine!$D$57-Engine!$H$58)/(1+Engine!$D$58*EXP(-Engine!$H$57*(F3-Engine!$F$57)))^(1/Engine!$F$58))</f>
        <v>#VALUE!</v>
      </c>
      <c r="N3"/>
      <c r="O3"/>
      <c r="P3" s="20"/>
      <c r="Q3" s="20"/>
      <c r="R3" s="135"/>
      <c r="AC3"/>
      <c r="AD3"/>
      <c r="AE3"/>
      <c r="AF3"/>
      <c r="AG3"/>
      <c r="AH3"/>
      <c r="AI3"/>
      <c r="AJ3"/>
      <c r="AK3"/>
      <c r="AL3"/>
      <c r="AM3"/>
      <c r="AN3"/>
      <c r="AO3"/>
      <c r="AP3"/>
    </row>
    <row r="4" spans="1:42" ht="31.5" thickBot="1" x14ac:dyDescent="0.4">
      <c r="A4" s="119">
        <f>IF(OR('Tabella Pesi'!J3=Engine!$G$48,'Tabella Pesi'!J3=Engine!$H$48,'Tabella Pesi'!J3=Engine!$J$48),1,0)</f>
        <v>0</v>
      </c>
      <c r="B4" s="132" t="str" cm="1">
        <f t="array" ref="B4">IFERROR(INDEX('Tabella Pesi'!$B$2:$B$16, SMALL(IF(1=$A$3:$A$17, ROW('Tabella Pesi'!$B$2:$B$16)-1,""), ROW()-2)),"")</f>
        <v>Sono individuate le informazioni, i dati e i sistemi critici per l’azienda affinché siano adeguatamente protetti.</v>
      </c>
      <c r="C4" s="164">
        <f>IF(B4="","",_xlfn.XLOOKUP(B4,'Val. Maturità'!$B$4:$B$18,'Val. Maturità'!$C$4:$C$18))</f>
        <v>0</v>
      </c>
      <c r="D4" s="176" cm="1">
        <f t="array" ref="D4">IF(B4="","",IF(INDEX('Tabella Pesi'!$A$1:$Q$16,_xlfn.XMATCH(B4,'Tabella Pesi'!$B$1:$B$16),COLUMN('Tabella Pesi'!$J$1))=Engine!G$48,Engine!G$49,IF(INDEX('Tabella Pesi'!$A$1:$Q$16,_xlfn.XMATCH(B4,'Tabella Pesi'!$B$1:$B$16),COLUMN('Tabella Pesi'!$J$1))=Engine!H$48,Engine!H$49,Engine!$J$49)))</f>
        <v>1</v>
      </c>
      <c r="E4" s="278">
        <f>IF(C4="","",IF(C4=Engine!$B$27,"N/A",IF(C4=Engine!$B$24,1,IF(C4=Engine!$B$25,0.5,0))))</f>
        <v>0</v>
      </c>
      <c r="F4" s="758"/>
      <c r="H4" s="20"/>
      <c r="I4" s="20"/>
      <c r="J4" s="20"/>
      <c r="K4" s="20"/>
      <c r="L4" s="20"/>
      <c r="M4" s="20"/>
      <c r="N4" s="20"/>
      <c r="O4" s="20"/>
      <c r="P4" s="20"/>
      <c r="Q4" s="20"/>
      <c r="R4" s="135"/>
      <c r="AC4"/>
      <c r="AD4"/>
      <c r="AE4"/>
      <c r="AF4"/>
      <c r="AG4"/>
      <c r="AH4"/>
      <c r="AI4"/>
      <c r="AJ4"/>
      <c r="AK4"/>
      <c r="AL4"/>
      <c r="AM4"/>
      <c r="AN4"/>
      <c r="AO4"/>
      <c r="AP4"/>
    </row>
    <row r="5" spans="1:42" ht="40.5" customHeight="1" thickBot="1" x14ac:dyDescent="0.4">
      <c r="A5" s="119">
        <f>IF(OR('Tabella Pesi'!J4=Engine!$G$48,'Tabella Pesi'!J4=Engine!$H$48,'Tabella Pesi'!J4=Engine!$J$48),1,0)</f>
        <v>1</v>
      </c>
      <c r="B5" s="132" t="str" cm="1">
        <f t="array" ref="B5">IFERROR(INDEX('Tabella Pesi'!$B$2:$B$16, SMALL(IF(1=$A$3:$A$17, ROW('Tabella Pesi'!$B$2:$B$16)-1,""), ROW()-2)),"")</f>
        <v>È stato nominato un referente che sia responsabile per il coordinamento delle attività di gestione e di protezione delle informazioni e dei sistemi informatici.</v>
      </c>
      <c r="C5" s="164">
        <f>IF(B5="","",_xlfn.XLOOKUP(B5,'Val. Maturità'!$B$4:$B$18,'Val. Maturità'!$C$4:$C$18))</f>
        <v>0</v>
      </c>
      <c r="D5" s="176" cm="1">
        <f t="array" ref="D5">IF(B5="","",IF(INDEX('Tabella Pesi'!$A$1:$Q$16,_xlfn.XMATCH(B5,'Tabella Pesi'!$B$1:$B$16),COLUMN('Tabella Pesi'!$J$1))=Engine!G$48,Engine!G$49,IF(INDEX('Tabella Pesi'!$A$1:$Q$16,_xlfn.XMATCH(B5,'Tabella Pesi'!$B$1:$B$16),COLUMN('Tabella Pesi'!$J$1))=Engine!H$48,Engine!H$49,Engine!$J$49)))</f>
        <v>1</v>
      </c>
      <c r="E5" s="278">
        <f>IF(C5="","",IF(C5=Engine!$B$27,"N/A",IF(C5=Engine!$B$24,1,IF(C5=Engine!$B$25,0.5,0))))</f>
        <v>0</v>
      </c>
      <c r="F5" s="758"/>
      <c r="H5" s="20"/>
      <c r="I5" s="720" t="s">
        <v>88</v>
      </c>
      <c r="J5" s="721"/>
      <c r="K5" s="721"/>
      <c r="L5" s="722"/>
      <c r="M5" s="255" t="e">
        <f>M3*'Val. Maturità'!Q5</f>
        <v>#VALUE!</v>
      </c>
      <c r="N5" s="20"/>
      <c r="O5"/>
      <c r="P5"/>
      <c r="Q5" s="20"/>
      <c r="R5" s="135"/>
      <c r="AC5"/>
      <c r="AD5"/>
      <c r="AE5"/>
      <c r="AF5"/>
      <c r="AG5"/>
      <c r="AH5"/>
      <c r="AI5"/>
      <c r="AJ5"/>
      <c r="AK5"/>
      <c r="AL5"/>
      <c r="AM5"/>
      <c r="AN5"/>
      <c r="AO5"/>
      <c r="AP5"/>
    </row>
    <row r="6" spans="1:42" ht="46.5" x14ac:dyDescent="0.35">
      <c r="A6" s="119">
        <f>IF(OR('Tabella Pesi'!J5=Engine!$G$48,'Tabella Pesi'!J5=Engine!$H$48,'Tabella Pesi'!J5=Engine!$J$48),1,0)</f>
        <v>1</v>
      </c>
      <c r="B6" s="132" t="str" cm="1">
        <f t="array" ref="B6">IFERROR(INDEX('Tabella Pesi'!$B$2:$B$16, SMALL(IF(1=$A$3:$A$17, ROW('Tabella Pesi'!$B$2:$B$16)-1,""), ROW()-2)),"")</f>
        <v>Sono identificate e rispettate le leggi e/o i regolamenti con rilevanza in tema di cybersecurity che risultino applicabili per l’azienda.</v>
      </c>
      <c r="C6" s="164">
        <f>IF(B6="","",_xlfn.XLOOKUP(B6,'Val. Maturità'!$B$4:$B$18,'Val. Maturità'!$C$4:$C$18))</f>
        <v>0</v>
      </c>
      <c r="D6" s="176" cm="1">
        <f t="array" ref="D6">IF(B6="","",IF(INDEX('Tabella Pesi'!$A$1:$Q$16,_xlfn.XMATCH(B6,'Tabella Pesi'!$B$1:$B$16),COLUMN('Tabella Pesi'!$J$1))=Engine!G$48,Engine!G$49,IF(INDEX('Tabella Pesi'!$A$1:$Q$16,_xlfn.XMATCH(B6,'Tabella Pesi'!$B$1:$B$16),COLUMN('Tabella Pesi'!$J$1))=Engine!H$48,Engine!H$49,Engine!$J$49)))</f>
        <v>1</v>
      </c>
      <c r="E6" s="278">
        <f>IF(C6="","",IF(C6=Engine!$B$27,"N/A",IF(C6=Engine!$B$24,1,IF(C6=Engine!$B$25,0.5,0))))</f>
        <v>0</v>
      </c>
      <c r="F6" s="758"/>
      <c r="R6" s="135"/>
      <c r="AC6"/>
      <c r="AD6"/>
      <c r="AE6"/>
      <c r="AF6"/>
      <c r="AG6"/>
      <c r="AH6"/>
      <c r="AI6"/>
      <c r="AJ6"/>
      <c r="AK6"/>
      <c r="AL6"/>
      <c r="AM6"/>
      <c r="AN6"/>
      <c r="AO6"/>
      <c r="AP6"/>
    </row>
    <row r="7" spans="1:42" ht="31" x14ac:dyDescent="0.35">
      <c r="A7" s="119">
        <f>IF(OR('Tabella Pesi'!J6=Engine!$G$48,'Tabella Pesi'!J6=Engine!$H$48,'Tabella Pesi'!J6=Engine!$J$48),1,0)</f>
        <v>1</v>
      </c>
      <c r="B7" s="132" t="str" cm="1">
        <f t="array" ref="B7">IFERROR(INDEX('Tabella Pesi'!$B$2:$B$16, SMALL(IF(1=$A$3:$A$17, ROW('Tabella Pesi'!$B$2:$B$16)-1,""), ROW()-2)),"")</f>
        <v>Le password sono diverse per ogni account, della complessità adeguata e viene valutato l’utilizzo dei sistemi di autenticazione più sicuri offerti dal provider del servizio (es. autenticazione a due fattori).</v>
      </c>
      <c r="C7" s="164">
        <f>IF(B7="","",_xlfn.XLOOKUP(B7,'Val. Maturità'!$B$4:$B$18,'Val. Maturità'!$C$4:$C$18))</f>
        <v>0</v>
      </c>
      <c r="D7" s="176" cm="1">
        <f t="array" ref="D7">IF(B7="","",IF(INDEX('Tabella Pesi'!$A$1:$Q$16,_xlfn.XMATCH(B7,'Tabella Pesi'!$B$1:$B$16),COLUMN('Tabella Pesi'!$J$1))=Engine!G$48,Engine!G$49,IF(INDEX('Tabella Pesi'!$A$1:$Q$16,_xlfn.XMATCH(B7,'Tabella Pesi'!$B$1:$B$16),COLUMN('Tabella Pesi'!$J$1))=Engine!H$48,Engine!H$49,Engine!$J$49)))</f>
        <v>1</v>
      </c>
      <c r="E7" s="278">
        <f>IF(C7="","",IF(C7=Engine!$B$27,"N/A",IF(C7=Engine!$B$24,1,IF(C7=Engine!$B$25,0.5,0))))</f>
        <v>0</v>
      </c>
      <c r="F7" s="758"/>
      <c r="R7" s="135"/>
      <c r="AC7"/>
      <c r="AD7"/>
      <c r="AE7"/>
      <c r="AF7"/>
      <c r="AG7"/>
      <c r="AH7"/>
      <c r="AI7"/>
      <c r="AJ7"/>
      <c r="AK7"/>
      <c r="AL7"/>
      <c r="AM7"/>
      <c r="AN7"/>
      <c r="AO7"/>
      <c r="AP7"/>
    </row>
    <row r="8" spans="1:42" ht="77.5" x14ac:dyDescent="0.35">
      <c r="A8" s="119">
        <f>IF(OR('Tabella Pesi'!J7=Engine!$G$48,'Tabella Pesi'!J7=Engine!$H$48,'Tabella Pesi'!J7=Engine!$J$48),1,0)</f>
        <v>0</v>
      </c>
      <c r="B8" s="132" t="str" cm="1">
        <f t="array" ref="B8">IFERROR(INDEX('Tabella Pesi'!$B$2:$B$16, SMALL(IF(1=$A$3:$A$17, ROW('Tabella Pesi'!$B$2:$B$16)-1,""), ROW()-2)),"")</f>
        <v>Il personale autorizzato all’accesso, remoto o locale, ai servizi informatici dispone di utenze personali non condivise con altri; l’accesso è opportunamente protetto; i vecchi account non più utilizzati sono disattivati.</v>
      </c>
      <c r="C8" s="164">
        <f>IF(B8="","",_xlfn.XLOOKUP(B8,'Val. Maturità'!$B$4:$B$18,'Val. Maturità'!$C$4:$C$18))</f>
        <v>0</v>
      </c>
      <c r="D8" s="176" cm="1">
        <f t="array" ref="D8">IF(B8="","",IF(INDEX('Tabella Pesi'!$A$1:$Q$16,_xlfn.XMATCH(B8,'Tabella Pesi'!$B$1:$B$16),COLUMN('Tabella Pesi'!$J$1))=Engine!G$48,Engine!G$49,IF(INDEX('Tabella Pesi'!$A$1:$Q$16,_xlfn.XMATCH(B8,'Tabella Pesi'!$B$1:$B$16),COLUMN('Tabella Pesi'!$J$1))=Engine!H$48,Engine!H$49,Engine!$J$49)))</f>
        <v>1</v>
      </c>
      <c r="E8" s="278">
        <f>IF(C8="","",IF(C8=Engine!$B$27,"N/A",IF(C8=Engine!$B$24,1,IF(C8=Engine!$B$25,0.5,0))))</f>
        <v>0</v>
      </c>
      <c r="F8" s="758"/>
      <c r="R8" s="135"/>
      <c r="AC8"/>
      <c r="AD8"/>
      <c r="AE8"/>
      <c r="AF8"/>
      <c r="AG8"/>
      <c r="AH8"/>
      <c r="AI8"/>
      <c r="AJ8"/>
      <c r="AK8"/>
      <c r="AL8"/>
      <c r="AM8"/>
      <c r="AN8"/>
      <c r="AO8"/>
      <c r="AP8"/>
    </row>
    <row r="9" spans="1:42" ht="46.5" x14ac:dyDescent="0.35">
      <c r="A9" s="119">
        <f>IF(OR('Tabella Pesi'!J8=Engine!$G$48,'Tabella Pesi'!J8=Engine!$H$48,'Tabella Pesi'!J8=Engine!$J$48),1,0)</f>
        <v>1</v>
      </c>
      <c r="B9" s="132" t="str" cm="1">
        <f t="array" ref="B9">IFERROR(INDEX('Tabella Pesi'!$B$2:$B$16, SMALL(IF(1=$A$3:$A$17, ROW('Tabella Pesi'!$B$2:$B$16)-1,""), ROW()-2)),"")</f>
        <v>Ogni utente può accedere solo alle informazioni e ai sistemi di cui necessita e/o di sua competenza.</v>
      </c>
      <c r="C9" s="164">
        <f>IF(B9="","",_xlfn.XLOOKUP(B9,'Val. Maturità'!$B$4:$B$18,'Val. Maturità'!$C$4:$C$18))</f>
        <v>0</v>
      </c>
      <c r="D9" s="176" cm="1">
        <f t="array" ref="D9">IF(B9="","",IF(INDEX('Tabella Pesi'!$A$1:$Q$16,_xlfn.XMATCH(B9,'Tabella Pesi'!$B$1:$B$16),COLUMN('Tabella Pesi'!$J$1))=Engine!G$48,Engine!G$49,IF(INDEX('Tabella Pesi'!$A$1:$Q$16,_xlfn.XMATCH(B9,'Tabella Pesi'!$B$1:$B$16),COLUMN('Tabella Pesi'!$J$1))=Engine!H$48,Engine!H$49,Engine!$J$49)))</f>
        <v>1</v>
      </c>
      <c r="E9" s="278">
        <f>IF(C9="","",IF(C9=Engine!$B$27,"N/A",IF(C9=Engine!$B$24,1,IF(C9=Engine!$B$25,0.5,0))))</f>
        <v>0</v>
      </c>
      <c r="F9" s="758"/>
      <c r="R9" s="135"/>
      <c r="AC9"/>
      <c r="AD9"/>
      <c r="AE9"/>
      <c r="AF9"/>
      <c r="AG9"/>
      <c r="AH9"/>
      <c r="AI9"/>
      <c r="AJ9"/>
      <c r="AK9"/>
      <c r="AL9"/>
      <c r="AM9"/>
      <c r="AN9"/>
      <c r="AO9"/>
      <c r="AP9"/>
    </row>
    <row r="10" spans="1:42" ht="46.5" x14ac:dyDescent="0.35">
      <c r="A10" s="119">
        <f>IF(OR('Tabella Pesi'!J9=Engine!$G$48,'Tabella Pesi'!J9=Engine!$H$48,'Tabella Pesi'!J9=Engine!$J$48),1,0)</f>
        <v>1</v>
      </c>
      <c r="B10" s="132" t="str" cm="1">
        <f t="array" ref="B10">IFERROR(INDEX('Tabella Pesi'!$B$2:$B$16, SMALL(IF(1=$A$3:$A$17, ROW('Tabella Pesi'!$B$2:$B$16)-1,""), ROW()-2)),"")</f>
        <v>Il personale è adeguatamente sensibilizzato e formato sui rischi di cybersecurity e sulle pratiche da adottare per l’impiego sicuro degli strumenti aziendali (es. riconoscere allegati e-mail, utilizzare solo software autorizzato,...). I vertici aziendali hanno cura di predisporre per tutto il personale aziendale la formazione necessaria a fornire almeno le nozioni basilari di sicurezza.</v>
      </c>
      <c r="C10" s="164">
        <f>IF(B10="","",_xlfn.XLOOKUP(B10,'Val. Maturità'!$B$4:$B$18,'Val. Maturità'!$C$4:$C$18))</f>
        <v>0</v>
      </c>
      <c r="D10" s="176" cm="1">
        <f t="array" ref="D10">IF(B10="","",IF(INDEX('Tabella Pesi'!$A$1:$Q$16,_xlfn.XMATCH(B10,'Tabella Pesi'!$B$1:$B$16),COLUMN('Tabella Pesi'!$J$1))=Engine!G$48,Engine!G$49,IF(INDEX('Tabella Pesi'!$A$1:$Q$16,_xlfn.XMATCH(B10,'Tabella Pesi'!$B$1:$B$16),COLUMN('Tabella Pesi'!$J$1))=Engine!H$48,Engine!H$49,Engine!$J$49)))</f>
        <v>1</v>
      </c>
      <c r="E10" s="278">
        <f>IF(C10="","",IF(C10=Engine!$B$27,"N/A",IF(C10=Engine!$B$24,1,IF(C10=Engine!$B$25,0.5,0))))</f>
        <v>0</v>
      </c>
      <c r="F10" s="758"/>
      <c r="R10" s="135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</row>
    <row r="11" spans="1:42" ht="31" x14ac:dyDescent="0.35">
      <c r="A11" s="119">
        <f>IF(OR('Tabella Pesi'!J10=Engine!$G$48,'Tabella Pesi'!J10=Engine!$H$48,'Tabella Pesi'!J10=Engine!$J$48),1,0)</f>
        <v>1</v>
      </c>
      <c r="B11" s="132" t="str" cm="1">
        <f t="array" ref="B11">IFERROR(INDEX('Tabella Pesi'!$B$2:$B$16, SMALL(IF(1=$A$3:$A$17, ROW('Tabella Pesi'!$B$2:$B$16)-1,""), ROW()-2)),"")</f>
        <v>La configurazione iniziale di tutti i sistemi e dispositivi è svolta da personale esperto, responsabile per la configurazione sicura degli stessi. Le credenziali di accesso di default sono sempre sostituite.</v>
      </c>
      <c r="C11" s="164">
        <f>IF(B11="","",_xlfn.XLOOKUP(B11,'Val. Maturità'!$B$4:$B$18,'Val. Maturità'!$C$4:$C$18))</f>
        <v>0</v>
      </c>
      <c r="D11" s="176" cm="1">
        <f t="array" ref="D11">IF(B11="","",IF(INDEX('Tabella Pesi'!$A$1:$Q$16,_xlfn.XMATCH(B11,'Tabella Pesi'!$B$1:$B$16),COLUMN('Tabella Pesi'!$J$1))=Engine!G$48,Engine!G$49,IF(INDEX('Tabella Pesi'!$A$1:$Q$16,_xlfn.XMATCH(B11,'Tabella Pesi'!$B$1:$B$16),COLUMN('Tabella Pesi'!$J$1))=Engine!H$48,Engine!H$49,Engine!$J$49)))</f>
        <v>1</v>
      </c>
      <c r="E11" s="278">
        <f>IF(C11="","",IF(C11=Engine!$B$27,"N/A",IF(C11=Engine!$B$24,1,IF(C11=Engine!$B$25,0.5,0))))</f>
        <v>0</v>
      </c>
      <c r="F11" s="758"/>
      <c r="R11" s="135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</row>
    <row r="12" spans="1:42" ht="46.5" x14ac:dyDescent="0.35">
      <c r="A12" s="119">
        <f>IF(OR('Tabella Pesi'!J11=Engine!$G$48,'Tabella Pesi'!J11=Engine!$H$48,'Tabella Pesi'!J11=Engine!$J$48),1,0)</f>
        <v>1</v>
      </c>
      <c r="B12" s="132" t="str" cm="1">
        <f t="array" ref="B12">IFERROR(INDEX('Tabella Pesi'!$B$2:$B$16, SMALL(IF(1=$A$3:$A$17, ROW('Tabella Pesi'!$B$2:$B$16)-1,""), ROW()-2)),"")</f>
        <v>Le reti e i sistemi sono protetti da accessi non autorizzati attraverso strumenti specifici (es: Firewall e altri dispositivi/software anti-intrusione).</v>
      </c>
      <c r="C12" s="164">
        <f>IF(B12="","",_xlfn.XLOOKUP(B12,'Val. Maturità'!$B$4:$B$18,'Val. Maturità'!$C$4:$C$18))</f>
        <v>0</v>
      </c>
      <c r="D12" s="176" cm="1">
        <f t="array" ref="D12">IF(B12="","",IF(INDEX('Tabella Pesi'!$A$1:$Q$16,_xlfn.XMATCH(B12,'Tabella Pesi'!$B$1:$B$16),COLUMN('Tabella Pesi'!$J$1))=Engine!G$48,Engine!G$49,IF(INDEX('Tabella Pesi'!$A$1:$Q$16,_xlfn.XMATCH(B12,'Tabella Pesi'!$B$1:$B$16),COLUMN('Tabella Pesi'!$J$1))=Engine!H$48,Engine!H$49,Engine!$J$49)))</f>
        <v>1</v>
      </c>
      <c r="E12" s="278">
        <f>IF(C12="","",IF(C12=Engine!$B$27,"N/A",IF(C12=Engine!$B$24,1,IF(C12=Engine!$B$25,0.5,0))))</f>
        <v>0</v>
      </c>
      <c r="F12" s="758"/>
      <c r="R12" s="135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</row>
    <row r="13" spans="1:42" x14ac:dyDescent="0.35">
      <c r="A13" s="119">
        <f>IF(OR('Tabella Pesi'!J12=Engine!$G$48,'Tabella Pesi'!J12=Engine!$H$48,'Tabella Pesi'!J12=Engine!$J$48),1,0)</f>
        <v>1</v>
      </c>
      <c r="B13" s="132" t="str" cm="1">
        <f t="array" ref="B13">IFERROR(INDEX('Tabella Pesi'!$B$2:$B$16, SMALL(IF(1=$A$3:$A$17, ROW('Tabella Pesi'!$B$2:$B$16)-1,""), ROW()-2)),"")</f>
        <v/>
      </c>
      <c r="C13" s="164" t="str">
        <f>IF(B13="","",_xlfn.XLOOKUP(B13,'Val. Maturità'!$B$4:$B$18,'Val. Maturità'!$C$4:$C$18))</f>
        <v/>
      </c>
      <c r="D13" s="176" t="str" cm="1">
        <f t="array" ref="D13">IF(B13="","",IF(INDEX('Tabella Pesi'!$A$1:$Q$16,_xlfn.XMATCH(B13,'Tabella Pesi'!$B$1:$B$16),COLUMN('Tabella Pesi'!$J$1))=Engine!G$48,Engine!G$49,IF(INDEX('Tabella Pesi'!$A$1:$Q$16,_xlfn.XMATCH(B13,'Tabella Pesi'!$B$1:$B$16),COLUMN('Tabella Pesi'!$J$1))=Engine!H$48,Engine!H$49,Engine!$J$49)))</f>
        <v/>
      </c>
      <c r="E13" s="278" t="str">
        <f>IF(C13="","",IF(C13=Engine!$B$27,"N/A",IF(C13=Engine!$B$24,1,IF(C13=Engine!$B$25,0.5,0))))</f>
        <v/>
      </c>
      <c r="F13" s="758"/>
      <c r="R13" s="135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</row>
    <row r="14" spans="1:42" x14ac:dyDescent="0.35">
      <c r="A14" s="119">
        <f>IF(OR('Tabella Pesi'!J13=Engine!$G$48,'Tabella Pesi'!J13=Engine!$H$48,'Tabella Pesi'!J13=Engine!$J$48),1,0)</f>
        <v>0</v>
      </c>
      <c r="B14" s="132" t="str" cm="1">
        <f t="array" ref="B14">IFERROR(INDEX('Tabella Pesi'!$B$2:$B$16, SMALL(IF(1=$A$3:$A$17, ROW('Tabella Pesi'!$B$2:$B$16)-1,""), ROW()-2)),"")</f>
        <v/>
      </c>
      <c r="C14" s="164" t="str">
        <f>IF(B14="","",_xlfn.XLOOKUP(B14,'Val. Maturità'!$B$4:$B$18,'Val. Maturità'!$C$4:$C$18))</f>
        <v/>
      </c>
      <c r="D14" s="176" t="str" cm="1">
        <f t="array" ref="D14">IF(B14="","",IF(INDEX('Tabella Pesi'!$A$1:$Q$16,_xlfn.XMATCH(B14,'Tabella Pesi'!$B$1:$B$16),COLUMN('Tabella Pesi'!$J$1))=Engine!G$48,Engine!G$49,IF(INDEX('Tabella Pesi'!$A$1:$Q$16,_xlfn.XMATCH(B14,'Tabella Pesi'!$B$1:$B$16),COLUMN('Tabella Pesi'!$J$1))=Engine!H$48,Engine!H$49,Engine!$J$49)))</f>
        <v/>
      </c>
      <c r="E14" s="278" t="str">
        <f>IF(C14="","",IF(C14=Engine!$B$27,"N/A",IF(C14=Engine!$B$24,1,IF(C14=Engine!$B$25,0.5,0))))</f>
        <v/>
      </c>
      <c r="F14" s="758"/>
      <c r="R14" s="135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</row>
    <row r="15" spans="1:42" x14ac:dyDescent="0.35">
      <c r="A15" s="119">
        <f>IF(OR('Tabella Pesi'!J14=Engine!$G$48,'Tabella Pesi'!J14=Engine!$H$48,'Tabella Pesi'!J14=Engine!$J$48),1,0)</f>
        <v>1</v>
      </c>
      <c r="B15" s="132" t="str" cm="1">
        <f t="array" ref="B15">IFERROR(INDEX('Tabella Pesi'!$B$2:$B$16, SMALL(IF(1=$A$3:$A$17, ROW('Tabella Pesi'!$B$2:$B$16)-1,""), ROW()-2)),"")</f>
        <v/>
      </c>
      <c r="C15" s="164" t="str">
        <f>IF(B15="","",_xlfn.XLOOKUP(B15,'Val. Maturità'!$B$4:$B$18,'Val. Maturità'!$C$4:$C$18))</f>
        <v/>
      </c>
      <c r="D15" s="176" t="str" cm="1">
        <f t="array" ref="D15">IF(B15="","",IF(INDEX('Tabella Pesi'!$A$1:$Q$16,_xlfn.XMATCH(B15,'Tabella Pesi'!$B$1:$B$16),COLUMN('Tabella Pesi'!$J$1))=Engine!G$48,Engine!G$49,IF(INDEX('Tabella Pesi'!$A$1:$Q$16,_xlfn.XMATCH(B15,'Tabella Pesi'!$B$1:$B$16),COLUMN('Tabella Pesi'!$J$1))=Engine!H$48,Engine!H$49,Engine!$J$49)))</f>
        <v/>
      </c>
      <c r="E15" s="278" t="str">
        <f>IF(C15="","",IF(C15=Engine!$B$27,"N/A",IF(C15=Engine!$B$24,1,IF(C15=Engine!$B$25,0.5,0))))</f>
        <v/>
      </c>
      <c r="F15" s="758"/>
      <c r="R15" s="13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</row>
    <row r="16" spans="1:42" x14ac:dyDescent="0.35">
      <c r="A16" s="119">
        <f>IF(OR('Tabella Pesi'!J15=Engine!$G$48,'Tabella Pesi'!J15=Engine!$H$48,'Tabella Pesi'!J15=Engine!$J$48),1,0)</f>
        <v>0</v>
      </c>
      <c r="B16" s="132" t="str" cm="1">
        <f t="array" ref="B16">IFERROR(INDEX('Tabella Pesi'!$B$2:$B$16, SMALL(IF(1=$A$3:$A$17, ROW('Tabella Pesi'!$B$2:$B$16)-1,""), ROW()-2)),"")</f>
        <v/>
      </c>
      <c r="C16" s="164" t="str">
        <f>IF(B16="","",_xlfn.XLOOKUP(B16,'Val. Maturità'!$B$4:$B$18,'Val. Maturità'!$C$4:$C$18))</f>
        <v/>
      </c>
      <c r="D16" s="176" t="str" cm="1">
        <f t="array" ref="D16">IF(B16="","",IF(INDEX('Tabella Pesi'!$A$1:$Q$16,_xlfn.XMATCH(B16,'Tabella Pesi'!$B$1:$B$16),COLUMN('Tabella Pesi'!$J$1))=Engine!G$48,Engine!G$49,IF(INDEX('Tabella Pesi'!$A$1:$Q$16,_xlfn.XMATCH(B16,'Tabella Pesi'!$B$1:$B$16),COLUMN('Tabella Pesi'!$J$1))=Engine!H$48,Engine!H$49,Engine!$J$49)))</f>
        <v/>
      </c>
      <c r="E16" s="278" t="str">
        <f>IF(C16="","",IF(C16=Engine!$B$27,"N/A",IF(C16=Engine!$B$24,1,IF(C16=Engine!$B$25,0.5,0))))</f>
        <v/>
      </c>
      <c r="F16" s="758"/>
      <c r="R16" s="135"/>
      <c r="AC16"/>
      <c r="AD16"/>
      <c r="AE16"/>
      <c r="AF16"/>
      <c r="AG16"/>
      <c r="AH16"/>
      <c r="AI16"/>
      <c r="AJ16"/>
      <c r="AK16"/>
      <c r="AL16" s="254"/>
      <c r="AM16"/>
      <c r="AN16"/>
      <c r="AO16"/>
      <c r="AP16"/>
    </row>
    <row r="17" spans="1:45" ht="16" thickBot="1" x14ac:dyDescent="0.4">
      <c r="A17" s="120">
        <f>IF(OR('Tabella Pesi'!J16=Engine!$G$48,'Tabella Pesi'!J16=Engine!$H$48,'Tabella Pesi'!J16=Engine!$J$48),1,0)</f>
        <v>0</v>
      </c>
      <c r="B17" s="133" t="str" cm="1">
        <f t="array" ref="B17">IFERROR(INDEX('Tabella Pesi'!$B$2:$B$16, SMALL(IF(1=$A$3:$A$17, ROW('Tabella Pesi'!$B$2:$B$16)-1,""), ROW()-2)),"")</f>
        <v/>
      </c>
      <c r="C17" s="165" t="str">
        <f>IF(B17="","",_xlfn.XLOOKUP(B17,'Val. Maturità'!$B$4:$B$18,'Val. Maturità'!$C$4:$C$18))</f>
        <v/>
      </c>
      <c r="D17" s="177" t="str" cm="1">
        <f t="array" ref="D17">IF(B17="","",IF(INDEX('Tabella Pesi'!$A$1:$Q$16,_xlfn.XMATCH(B17,'Tabella Pesi'!$B$1:$B$16),COLUMN('Tabella Pesi'!$J$1))=Engine!G$48,Engine!G$49,IF(INDEX('Tabella Pesi'!$A$1:$Q$16,_xlfn.XMATCH(B17,'Tabella Pesi'!$B$1:$B$16),COLUMN('Tabella Pesi'!$J$1))=Engine!H$48,Engine!H$49,Engine!$J$49)))</f>
        <v/>
      </c>
      <c r="E17" s="279" t="str">
        <f>IF(C17="","",IF(C17=Engine!$B$27,"N/A",IF(C17=Engine!$B$24,1,IF(C17=Engine!$B$25,0.5,0))))</f>
        <v/>
      </c>
      <c r="F17" s="759"/>
      <c r="R17" s="135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</row>
    <row r="18" spans="1:45" ht="16" thickBot="1" x14ac:dyDescent="0.4">
      <c r="A18" s="140"/>
      <c r="B18" s="137"/>
      <c r="C18" s="137"/>
      <c r="D18" s="137"/>
      <c r="E18" s="137"/>
      <c r="F18" s="137"/>
      <c r="G18" s="137"/>
      <c r="H18" s="137"/>
      <c r="I18" s="137"/>
      <c r="J18" s="137"/>
      <c r="K18" s="137"/>
      <c r="L18" s="137"/>
      <c r="M18" s="137"/>
      <c r="N18" s="137"/>
      <c r="O18" s="137"/>
      <c r="P18" s="137"/>
      <c r="Q18" s="137"/>
      <c r="R18" s="139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</row>
    <row r="19" spans="1:45" x14ac:dyDescent="0.35"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</row>
    <row r="20" spans="1:45" x14ac:dyDescent="0.35"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</row>
    <row r="21" spans="1:45" x14ac:dyDescent="0.35"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</row>
    <row r="22" spans="1:45" x14ac:dyDescent="0.35"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</row>
    <row r="23" spans="1:45" x14ac:dyDescent="0.35"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</row>
    <row r="24" spans="1:45" x14ac:dyDescent="0.35"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</row>
    <row r="25" spans="1:45" x14ac:dyDescent="0.35"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</row>
    <row r="26" spans="1:45" x14ac:dyDescent="0.35"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</row>
    <row r="27" spans="1:45" x14ac:dyDescent="0.35"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</row>
    <row r="28" spans="1:45" x14ac:dyDescent="0.35"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</row>
    <row r="29" spans="1:45" x14ac:dyDescent="0.35"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</row>
    <row r="30" spans="1:45" x14ac:dyDescent="0.35"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</row>
    <row r="31" spans="1:45" x14ac:dyDescent="0.35"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</row>
    <row r="32" spans="1:45" x14ac:dyDescent="0.35"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</row>
    <row r="33" spans="32:45" x14ac:dyDescent="0.35"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</row>
    <row r="34" spans="32:45" x14ac:dyDescent="0.35"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</row>
    <row r="35" spans="32:45" x14ac:dyDescent="0.35"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</row>
    <row r="36" spans="32:45" x14ac:dyDescent="0.35"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</row>
    <row r="37" spans="32:45" x14ac:dyDescent="0.35"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</row>
    <row r="38" spans="32:45" x14ac:dyDescent="0.35"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</row>
    <row r="39" spans="32:45" x14ac:dyDescent="0.35"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</row>
    <row r="40" spans="32:45" x14ac:dyDescent="0.35"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</row>
    <row r="41" spans="32:45" x14ac:dyDescent="0.35"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</row>
    <row r="42" spans="32:45" x14ac:dyDescent="0.35"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</row>
    <row r="43" spans="32:45" x14ac:dyDescent="0.35"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</row>
    <row r="44" spans="32:45" x14ac:dyDescent="0.35"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</row>
    <row r="45" spans="32:45" x14ac:dyDescent="0.35"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</row>
    <row r="46" spans="32:45" x14ac:dyDescent="0.35"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</row>
    <row r="47" spans="32:45" x14ac:dyDescent="0.35">
      <c r="AF47"/>
      <c r="AG47"/>
      <c r="AH47" s="716"/>
      <c r="AI47" s="716"/>
      <c r="AJ47" s="254"/>
      <c r="AK47"/>
      <c r="AL47"/>
      <c r="AM47"/>
      <c r="AN47"/>
      <c r="AO47"/>
      <c r="AP47"/>
      <c r="AQ47"/>
      <c r="AR47"/>
      <c r="AS47"/>
    </row>
    <row r="48" spans="32:45" x14ac:dyDescent="0.35"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</row>
    <row r="49" spans="32:45" x14ac:dyDescent="0.35"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</row>
    <row r="50" spans="32:45" x14ac:dyDescent="0.35"/>
  </sheetData>
  <sheetProtection algorithmName="SHA-512" hashValue="SO9Ot91K9yVqmO04IzDPI+l045DMpG5DmApIDmBoyD1tML7q4+P5vXdUZ/tuZlZqWXuPjzsCjdpw3V06mm523g==" saltValue="E75Emnnws/5zJ9+Z3kfRXw==" spinCount="100000" sheet="1" objects="1" scenarios="1" selectLockedCells="1" selectUnlockedCells="1"/>
  <mergeCells count="6">
    <mergeCell ref="A1:R1"/>
    <mergeCell ref="AM2:AO2"/>
    <mergeCell ref="AH47:AI47"/>
    <mergeCell ref="F3:F17"/>
    <mergeCell ref="I5:L5"/>
    <mergeCell ref="I3:L3"/>
  </mergeCells>
  <conditionalFormatting sqref="AM16:AN16">
    <cfRule type="colorScale" priority="3">
      <colorScale>
        <cfvo type="num" val="0"/>
        <cfvo type="num" val="0.5"/>
        <cfvo type="num" val="1"/>
        <color rgb="FF00B050"/>
        <color rgb="FFFFEB84"/>
        <color theme="5"/>
      </colorScale>
    </cfRule>
  </conditionalFormatting>
  <conditionalFormatting sqref="P5">
    <cfRule type="colorScale" priority="1">
      <colorScale>
        <cfvo type="num" val="0"/>
        <cfvo type="num" val="0.5"/>
        <cfvo type="num" val="1"/>
        <color rgb="FF00B050"/>
        <color rgb="FFFFEB84"/>
        <color theme="5"/>
      </colorScale>
    </cfRule>
  </conditionalFormatting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" id="{C86AEF66-7506-4CAD-A74B-2907DD219994}">
            <xm:f>COUNTA(B3:B17)-COUNTIFS(B3:B17,"")&lt;&gt;'Tabella Pesi'!$J$17</xm:f>
            <x14:dxf>
              <fill>
                <patternFill>
                  <bgColor rgb="FFFF0000"/>
                </patternFill>
              </fill>
            </x14:dxf>
          </x14:cfRule>
          <xm:sqref>B2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C89804-7777-4926-A756-B7383D0F8983}">
  <sheetPr codeName="Foglio13">
    <tabColor theme="7" tint="0.39997558519241921"/>
  </sheetPr>
  <dimension ref="A1:AS50"/>
  <sheetViews>
    <sheetView showGridLines="0" topLeftCell="B1" zoomScale="60" zoomScaleNormal="60" workbookViewId="0">
      <selection sqref="A1:R1"/>
    </sheetView>
  </sheetViews>
  <sheetFormatPr defaultColWidth="0" defaultRowHeight="15.5" zeroHeight="1" outlineLevelCol="1" x14ac:dyDescent="0.35"/>
  <cols>
    <col min="1" max="1" width="4.36328125" style="11" hidden="1" customWidth="1" outlineLevel="1"/>
    <col min="2" max="2" width="74.81640625" style="20" customWidth="1" collapsed="1"/>
    <col min="3" max="3" width="8.81640625" style="20" customWidth="1"/>
    <col min="4" max="4" width="7.453125" style="20" hidden="1" customWidth="1" outlineLevel="1"/>
    <col min="5" max="5" width="8.81640625" style="20" hidden="1" customWidth="1" outlineLevel="1"/>
    <col min="6" max="6" width="8.81640625" style="20" customWidth="1" collapsed="1"/>
    <col min="7" max="45" width="8.81640625" style="20" customWidth="1"/>
    <col min="46" max="16384" width="8.81640625" style="20" hidden="1"/>
  </cols>
  <sheetData>
    <row r="1" spans="1:42" ht="36" customHeight="1" thickBot="1" x14ac:dyDescent="0.4">
      <c r="A1" s="763" t="s">
        <v>40</v>
      </c>
      <c r="B1" s="764"/>
      <c r="C1" s="764"/>
      <c r="D1" s="764"/>
      <c r="E1" s="764"/>
      <c r="F1" s="764"/>
      <c r="G1" s="764"/>
      <c r="H1" s="764"/>
      <c r="I1" s="764"/>
      <c r="J1" s="764"/>
      <c r="K1" s="764"/>
      <c r="L1" s="764"/>
      <c r="M1" s="764"/>
      <c r="N1" s="764"/>
      <c r="O1" s="764"/>
      <c r="P1" s="764"/>
      <c r="Q1" s="764"/>
      <c r="R1" s="765"/>
      <c r="AC1"/>
      <c r="AD1"/>
      <c r="AE1"/>
      <c r="AF1"/>
      <c r="AG1"/>
      <c r="AH1"/>
      <c r="AI1"/>
      <c r="AJ1"/>
      <c r="AK1"/>
      <c r="AL1"/>
      <c r="AM1"/>
      <c r="AN1"/>
      <c r="AO1"/>
      <c r="AP1"/>
    </row>
    <row r="2" spans="1:42" ht="16" thickBot="1" x14ac:dyDescent="0.4">
      <c r="A2" s="159"/>
      <c r="B2"/>
      <c r="C2"/>
      <c r="D2"/>
      <c r="E2"/>
      <c r="R2" s="84"/>
      <c r="AC2"/>
      <c r="AD2"/>
      <c r="AE2"/>
      <c r="AF2"/>
      <c r="AG2"/>
      <c r="AH2"/>
      <c r="AI2"/>
      <c r="AJ2"/>
      <c r="AK2"/>
      <c r="AL2"/>
      <c r="AM2" s="716"/>
      <c r="AN2" s="716"/>
      <c r="AO2" s="716"/>
      <c r="AP2"/>
    </row>
    <row r="3" spans="1:42" ht="47" customHeight="1" thickBot="1" x14ac:dyDescent="0.4">
      <c r="A3" s="77">
        <f>IF(OR('Tabella Pesi'!K2=Engine!$G$48,'Tabella Pesi'!K2=Engine!$H$48,'Tabella Pesi'!K2=Engine!$J$48),1,0)</f>
        <v>1</v>
      </c>
      <c r="B3" s="131" t="str" cm="1">
        <f t="array" ref="B3">IFERROR(INDEX('Tabella Pesi'!$B$2:$B$16, SMALL(IF(1=$A$3:$A$17, ROW('Tabella Pesi'!$B$2:$B$16)-1,""), ROW()-2)),"")</f>
        <v>Esiste ed è mantenuto aggiornato un inventario dei sistemi, dispositivi, software, servizi e applicazioni informatiche in uso all’interno del perimetro aziendale.</v>
      </c>
      <c r="C3" s="166">
        <f>IF(B3="","",_xlfn.XLOOKUP(B3,'Val. Maturità'!$B$4:$B$18,'Val. Maturità'!$C$4:$C$18))</f>
        <v>0</v>
      </c>
      <c r="D3" s="178" cm="1">
        <f t="array" ref="D3">IF(B3="","",IF(INDEX('Tabella Pesi'!$A$1:$Q$16,_xlfn.XMATCH(B3,'Tabella Pesi'!$B$1:$B$16),COLUMN('Tabella Pesi'!$K$1))=Engine!G$48,Engine!G$49,IF(INDEX('Tabella Pesi'!$A$1:$Q$16,_xlfn.XMATCH(B3,'Tabella Pesi'!$B$1:$B$16),COLUMN('Tabella Pesi'!$K$1))=Engine!H$48,Engine!H$49,Engine!$J$49)))</f>
        <v>1</v>
      </c>
      <c r="E3" s="277">
        <f>IF(C3="","",IF(C3=Engine!$B$27,"N/A",IF(C3=Engine!$B$24,1,IF(C3=Engine!$B$25,0.5,0))))</f>
        <v>0</v>
      </c>
      <c r="F3" s="766" cm="1">
        <f t="array" ref="F3">(SUMPRODUCT(--(E3:E17&lt;&gt;"N/A"),E3:E17,D3:D17)/SUMIF(E3:E17,"&lt;&gt;N/A",D3:D17))*10</f>
        <v>0</v>
      </c>
      <c r="I3" s="723" t="s">
        <v>296</v>
      </c>
      <c r="J3" s="724"/>
      <c r="K3" s="724"/>
      <c r="L3" s="725"/>
      <c r="M3" s="115" t="e">
        <f>Engine!$H$58+((Engine!$D$57-Engine!$H$58)/(1+Engine!$D$58*EXP(-Engine!$H$57*(F3-Engine!$F$57)))^(1/Engine!$F$58))</f>
        <v>#VALUE!</v>
      </c>
      <c r="N3"/>
      <c r="O3"/>
      <c r="P3"/>
      <c r="R3" s="84"/>
      <c r="AC3"/>
      <c r="AD3"/>
      <c r="AE3"/>
      <c r="AF3"/>
      <c r="AG3"/>
      <c r="AH3"/>
      <c r="AI3"/>
      <c r="AJ3"/>
      <c r="AK3"/>
      <c r="AL3"/>
      <c r="AM3"/>
      <c r="AN3"/>
      <c r="AO3"/>
      <c r="AP3"/>
    </row>
    <row r="4" spans="1:42" ht="31.5" thickBot="1" x14ac:dyDescent="0.4">
      <c r="A4" s="78">
        <f>IF(OR('Tabella Pesi'!K3=Engine!$G$48,'Tabella Pesi'!K3=Engine!$H$48,'Tabella Pesi'!K3=Engine!$J$48),1,0)</f>
        <v>0</v>
      </c>
      <c r="B4" s="132" t="str" cm="1">
        <f t="array" ref="B4">IFERROR(INDEX('Tabella Pesi'!$B$2:$B$16, SMALL(IF(1=$A$3:$A$17, ROW('Tabella Pesi'!$B$2:$B$16)-1,""), ROW()-2)),"")</f>
        <v>Sono individuate le informazioni, i dati e i sistemi critici per l’azienda affinché siano adeguatamente protetti.</v>
      </c>
      <c r="C4" s="167">
        <f>IF(B4="","",_xlfn.XLOOKUP(B4,'Val. Maturità'!$B$4:$B$18,'Val. Maturità'!$C$4:$C$18))</f>
        <v>0</v>
      </c>
      <c r="D4" s="180" cm="1">
        <f t="array" ref="D4">IF(B4="","",IF(INDEX('Tabella Pesi'!$A$1:$Q$16,_xlfn.XMATCH(B4,'Tabella Pesi'!$B$1:$B$16),COLUMN('Tabella Pesi'!$K$1))=Engine!G$48,Engine!G$49,IF(INDEX('Tabella Pesi'!$A$1:$Q$16,_xlfn.XMATCH(B4,'Tabella Pesi'!$B$1:$B$16),COLUMN('Tabella Pesi'!$K$1))=Engine!H$48,Engine!H$49,Engine!$J$49)))</f>
        <v>1</v>
      </c>
      <c r="E4" s="278">
        <f>IF(C4="","",IF(C4=Engine!$B$27,"N/A",IF(C4=Engine!$B$24,1,IF(C4=Engine!$B$25,0.5,0))))</f>
        <v>0</v>
      </c>
      <c r="F4" s="767"/>
      <c r="R4" s="84"/>
      <c r="AC4"/>
      <c r="AD4"/>
      <c r="AE4"/>
      <c r="AF4"/>
      <c r="AG4"/>
      <c r="AH4"/>
      <c r="AI4"/>
      <c r="AJ4"/>
      <c r="AK4"/>
      <c r="AL4"/>
      <c r="AM4"/>
      <c r="AN4"/>
      <c r="AO4"/>
      <c r="AP4"/>
    </row>
    <row r="5" spans="1:42" ht="41.5" customHeight="1" thickBot="1" x14ac:dyDescent="0.4">
      <c r="A5" s="78">
        <f>IF(OR('Tabella Pesi'!K4=Engine!$G$48,'Tabella Pesi'!K4=Engine!$H$48,'Tabella Pesi'!K4=Engine!$J$48),1,0)</f>
        <v>1</v>
      </c>
      <c r="B5" s="132" t="str" cm="1">
        <f t="array" ref="B5">IFERROR(INDEX('Tabella Pesi'!$B$2:$B$16, SMALL(IF(1=$A$3:$A$17, ROW('Tabella Pesi'!$B$2:$B$16)-1,""), ROW()-2)),"")</f>
        <v>È stato nominato un referente che sia responsabile per il coordinamento delle attività di gestione e di protezione delle informazioni e dei sistemi informatici.</v>
      </c>
      <c r="C5" s="167">
        <f>IF(B5="","",_xlfn.XLOOKUP(B5,'Val. Maturità'!$B$4:$B$18,'Val. Maturità'!$C$4:$C$18))</f>
        <v>0</v>
      </c>
      <c r="D5" s="180" cm="1">
        <f t="array" ref="D5">IF(B5="","",IF(INDEX('Tabella Pesi'!$A$1:$Q$16,_xlfn.XMATCH(B5,'Tabella Pesi'!$B$1:$B$16),COLUMN('Tabella Pesi'!$K$1))=Engine!G$48,Engine!G$49,IF(INDEX('Tabella Pesi'!$A$1:$Q$16,_xlfn.XMATCH(B5,'Tabella Pesi'!$B$1:$B$16),COLUMN('Tabella Pesi'!$K$1))=Engine!H$48,Engine!H$49,Engine!$J$49)))</f>
        <v>1</v>
      </c>
      <c r="E5" s="278">
        <f>IF(C5="","",IF(C5=Engine!$B$27,"N/A",IF(C5=Engine!$B$24,1,IF(C5=Engine!$B$25,0.5,0))))</f>
        <v>0</v>
      </c>
      <c r="F5" s="767"/>
      <c r="I5" s="720" t="s">
        <v>88</v>
      </c>
      <c r="J5" s="721"/>
      <c r="K5" s="721"/>
      <c r="L5" s="722"/>
      <c r="M5" s="255" t="e">
        <f>M3*'Val. Maturità'!Q5</f>
        <v>#VALUE!</v>
      </c>
      <c r="O5"/>
      <c r="P5"/>
      <c r="R5" s="84"/>
      <c r="AC5"/>
      <c r="AD5"/>
      <c r="AE5"/>
      <c r="AF5"/>
      <c r="AG5"/>
      <c r="AH5"/>
      <c r="AI5"/>
      <c r="AJ5"/>
      <c r="AK5"/>
      <c r="AL5"/>
      <c r="AM5"/>
      <c r="AN5"/>
      <c r="AO5"/>
      <c r="AP5"/>
    </row>
    <row r="6" spans="1:42" ht="46.5" x14ac:dyDescent="0.35">
      <c r="A6" s="78">
        <f>IF(OR('Tabella Pesi'!K5=Engine!$G$48,'Tabella Pesi'!K5=Engine!$H$48,'Tabella Pesi'!K5=Engine!$J$48),1,0)</f>
        <v>1</v>
      </c>
      <c r="B6" s="132" t="str" cm="1">
        <f t="array" ref="B6">IFERROR(INDEX('Tabella Pesi'!$B$2:$B$16, SMALL(IF(1=$A$3:$A$17, ROW('Tabella Pesi'!$B$2:$B$16)-1,""), ROW()-2)),"")</f>
        <v>Sono identificate e rispettate le leggi e/o i regolamenti con rilevanza in tema di cybersecurity che risultino applicabili per l’azienda.</v>
      </c>
      <c r="C6" s="167">
        <f>IF(B6="","",_xlfn.XLOOKUP(B6,'Val. Maturità'!$B$4:$B$18,'Val. Maturità'!$C$4:$C$18))</f>
        <v>0</v>
      </c>
      <c r="D6" s="180" cm="1">
        <f t="array" ref="D6">IF(B6="","",IF(INDEX('Tabella Pesi'!$A$1:$Q$16,_xlfn.XMATCH(B6,'Tabella Pesi'!$B$1:$B$16),COLUMN('Tabella Pesi'!$K$1))=Engine!G$48,Engine!G$49,IF(INDEX('Tabella Pesi'!$A$1:$Q$16,_xlfn.XMATCH(B6,'Tabella Pesi'!$B$1:$B$16),COLUMN('Tabella Pesi'!$K$1))=Engine!H$48,Engine!H$49,Engine!$J$49)))</f>
        <v>1</v>
      </c>
      <c r="E6" s="278">
        <f>IF(C6="","",IF(C6=Engine!$B$27,"N/A",IF(C6=Engine!$B$24,1,IF(C6=Engine!$B$25,0.5,0))))</f>
        <v>0</v>
      </c>
      <c r="F6" s="767"/>
      <c r="R6" s="84"/>
      <c r="AC6"/>
      <c r="AD6"/>
      <c r="AE6"/>
      <c r="AF6"/>
      <c r="AG6"/>
      <c r="AH6"/>
      <c r="AI6"/>
      <c r="AJ6"/>
      <c r="AK6"/>
      <c r="AL6"/>
      <c r="AM6"/>
      <c r="AN6"/>
      <c r="AO6"/>
      <c r="AP6"/>
    </row>
    <row r="7" spans="1:42" ht="31" x14ac:dyDescent="0.35">
      <c r="A7" s="78">
        <f>IF(OR('Tabella Pesi'!K6=Engine!$G$48,'Tabella Pesi'!K6=Engine!$H$48,'Tabella Pesi'!K6=Engine!$J$48),1,0)</f>
        <v>1</v>
      </c>
      <c r="B7" s="132" t="str" cm="1">
        <f t="array" ref="B7">IFERROR(INDEX('Tabella Pesi'!$B$2:$B$16, SMALL(IF(1=$A$3:$A$17, ROW('Tabella Pesi'!$B$2:$B$16)-1,""), ROW()-2)),"")</f>
        <v>Le password sono diverse per ogni account, della complessità adeguata e viene valutato l’utilizzo dei sistemi di autenticazione più sicuri offerti dal provider del servizio (es. autenticazione a due fattori).</v>
      </c>
      <c r="C7" s="167">
        <f>IF(B7="","",_xlfn.XLOOKUP(B7,'Val. Maturità'!$B$4:$B$18,'Val. Maturità'!$C$4:$C$18))</f>
        <v>0</v>
      </c>
      <c r="D7" s="180" cm="1">
        <f t="array" ref="D7">IF(B7="","",IF(INDEX('Tabella Pesi'!$A$1:$Q$16,_xlfn.XMATCH(B7,'Tabella Pesi'!$B$1:$B$16),COLUMN('Tabella Pesi'!$K$1))=Engine!G$48,Engine!G$49,IF(INDEX('Tabella Pesi'!$A$1:$Q$16,_xlfn.XMATCH(B7,'Tabella Pesi'!$B$1:$B$16),COLUMN('Tabella Pesi'!$K$1))=Engine!H$48,Engine!H$49,Engine!$J$49)))</f>
        <v>1</v>
      </c>
      <c r="E7" s="278">
        <f>IF(C7="","",IF(C7=Engine!$B$27,"N/A",IF(C7=Engine!$B$24,1,IF(C7=Engine!$B$25,0.5,0))))</f>
        <v>0</v>
      </c>
      <c r="F7" s="767"/>
      <c r="R7" s="84"/>
      <c r="AC7"/>
      <c r="AD7"/>
      <c r="AE7"/>
      <c r="AF7"/>
      <c r="AG7"/>
      <c r="AH7"/>
      <c r="AI7"/>
      <c r="AJ7"/>
      <c r="AK7"/>
      <c r="AL7"/>
      <c r="AM7"/>
      <c r="AN7"/>
      <c r="AO7"/>
      <c r="AP7"/>
    </row>
    <row r="8" spans="1:42" ht="77.5" x14ac:dyDescent="0.35">
      <c r="A8" s="78">
        <f>IF(OR('Tabella Pesi'!K7=Engine!$G$48,'Tabella Pesi'!K7=Engine!$H$48,'Tabella Pesi'!K7=Engine!$J$48),1,0)</f>
        <v>0</v>
      </c>
      <c r="B8" s="132" t="str" cm="1">
        <f t="array" ref="B8">IFERROR(INDEX('Tabella Pesi'!$B$2:$B$16, SMALL(IF(1=$A$3:$A$17, ROW('Tabella Pesi'!$B$2:$B$16)-1,""), ROW()-2)),"")</f>
        <v>Il personale autorizzato all’accesso, remoto o locale, ai servizi informatici dispone di utenze personali non condivise con altri; l’accesso è opportunamente protetto; i vecchi account non più utilizzati sono disattivati.</v>
      </c>
      <c r="C8" s="167">
        <f>IF(B8="","",_xlfn.XLOOKUP(B8,'Val. Maturità'!$B$4:$B$18,'Val. Maturità'!$C$4:$C$18))</f>
        <v>0</v>
      </c>
      <c r="D8" s="180" cm="1">
        <f t="array" ref="D8">IF(B8="","",IF(INDEX('Tabella Pesi'!$A$1:$Q$16,_xlfn.XMATCH(B8,'Tabella Pesi'!$B$1:$B$16),COLUMN('Tabella Pesi'!$K$1))=Engine!G$48,Engine!G$49,IF(INDEX('Tabella Pesi'!$A$1:$Q$16,_xlfn.XMATCH(B8,'Tabella Pesi'!$B$1:$B$16),COLUMN('Tabella Pesi'!$K$1))=Engine!H$48,Engine!H$49,Engine!$J$49)))</f>
        <v>1</v>
      </c>
      <c r="E8" s="278">
        <f>IF(C8="","",IF(C8=Engine!$B$27,"N/A",IF(C8=Engine!$B$24,1,IF(C8=Engine!$B$25,0.5,0))))</f>
        <v>0</v>
      </c>
      <c r="F8" s="767"/>
      <c r="R8" s="84"/>
      <c r="AC8"/>
      <c r="AD8"/>
      <c r="AE8"/>
      <c r="AF8"/>
      <c r="AG8"/>
      <c r="AH8"/>
      <c r="AI8"/>
      <c r="AJ8"/>
      <c r="AK8"/>
      <c r="AL8"/>
      <c r="AM8"/>
      <c r="AN8"/>
      <c r="AO8"/>
      <c r="AP8"/>
    </row>
    <row r="9" spans="1:42" ht="46.5" x14ac:dyDescent="0.35">
      <c r="A9" s="78">
        <f>IF(OR('Tabella Pesi'!K8=Engine!$G$48,'Tabella Pesi'!K8=Engine!$H$48,'Tabella Pesi'!K8=Engine!$J$48),1,0)</f>
        <v>1</v>
      </c>
      <c r="B9" s="132" t="str" cm="1">
        <f t="array" ref="B9">IFERROR(INDEX('Tabella Pesi'!$B$2:$B$16, SMALL(IF(1=$A$3:$A$17, ROW('Tabella Pesi'!$B$2:$B$16)-1,""), ROW()-2)),"")</f>
        <v>Ogni utente può accedere solo alle informazioni e ai sistemi di cui necessita e/o di sua competenza.</v>
      </c>
      <c r="C9" s="167">
        <f>IF(B9="","",_xlfn.XLOOKUP(B9,'Val. Maturità'!$B$4:$B$18,'Val. Maturità'!$C$4:$C$18))</f>
        <v>0</v>
      </c>
      <c r="D9" s="180" cm="1">
        <f t="array" ref="D9">IF(B9="","",IF(INDEX('Tabella Pesi'!$A$1:$Q$16,_xlfn.XMATCH(B9,'Tabella Pesi'!$B$1:$B$16),COLUMN('Tabella Pesi'!$K$1))=Engine!G$48,Engine!G$49,IF(INDEX('Tabella Pesi'!$A$1:$Q$16,_xlfn.XMATCH(B9,'Tabella Pesi'!$B$1:$B$16),COLUMN('Tabella Pesi'!$K$1))=Engine!H$48,Engine!H$49,Engine!$J$49)))</f>
        <v>1</v>
      </c>
      <c r="E9" s="278">
        <f>IF(C9="","",IF(C9=Engine!$B$27,"N/A",IF(C9=Engine!$B$24,1,IF(C9=Engine!$B$25,0.5,0))))</f>
        <v>0</v>
      </c>
      <c r="F9" s="767"/>
      <c r="R9" s="84"/>
      <c r="AC9"/>
      <c r="AD9"/>
      <c r="AE9"/>
      <c r="AF9"/>
      <c r="AG9"/>
      <c r="AH9"/>
      <c r="AI9"/>
      <c r="AJ9"/>
      <c r="AK9"/>
      <c r="AL9"/>
      <c r="AM9"/>
      <c r="AN9"/>
      <c r="AO9"/>
      <c r="AP9"/>
    </row>
    <row r="10" spans="1:42" ht="46.5" x14ac:dyDescent="0.35">
      <c r="A10" s="78">
        <f>IF(OR('Tabella Pesi'!K9=Engine!$G$48,'Tabella Pesi'!K9=Engine!$H$48,'Tabella Pesi'!K9=Engine!$J$48),1,0)</f>
        <v>1</v>
      </c>
      <c r="B10" s="132" t="str" cm="1">
        <f t="array" ref="B10">IFERROR(INDEX('Tabella Pesi'!$B$2:$B$16, SMALL(IF(1=$A$3:$A$17, ROW('Tabella Pesi'!$B$2:$B$16)-1,""), ROW()-2)),"")</f>
        <v>Il personale è adeguatamente sensibilizzato e formato sui rischi di cybersecurity e sulle pratiche da adottare per l’impiego sicuro degli strumenti aziendali (es. riconoscere allegati e-mail, utilizzare solo software autorizzato,...). I vertici aziendali hanno cura di predisporre per tutto il personale aziendale la formazione necessaria a fornire almeno le nozioni basilari di sicurezza.</v>
      </c>
      <c r="C10" s="167">
        <f>IF(B10="","",_xlfn.XLOOKUP(B10,'Val. Maturità'!$B$4:$B$18,'Val. Maturità'!$C$4:$C$18))</f>
        <v>0</v>
      </c>
      <c r="D10" s="180" cm="1">
        <f t="array" ref="D10">IF(B10="","",IF(INDEX('Tabella Pesi'!$A$1:$Q$16,_xlfn.XMATCH(B10,'Tabella Pesi'!$B$1:$B$16),COLUMN('Tabella Pesi'!$K$1))=Engine!G$48,Engine!G$49,IF(INDEX('Tabella Pesi'!$A$1:$Q$16,_xlfn.XMATCH(B10,'Tabella Pesi'!$B$1:$B$16),COLUMN('Tabella Pesi'!$K$1))=Engine!H$48,Engine!H$49,Engine!$J$49)))</f>
        <v>1</v>
      </c>
      <c r="E10" s="278">
        <f>IF(C10="","",IF(C10=Engine!$B$27,"N/A",IF(C10=Engine!$B$24,1,IF(C10=Engine!$B$25,0.5,0))))</f>
        <v>0</v>
      </c>
      <c r="F10" s="767"/>
      <c r="R10" s="84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</row>
    <row r="11" spans="1:42" ht="31" x14ac:dyDescent="0.35">
      <c r="A11" s="78">
        <f>IF(OR('Tabella Pesi'!K10=Engine!$G$48,'Tabella Pesi'!K10=Engine!$H$48,'Tabella Pesi'!K10=Engine!$J$48),1,0)</f>
        <v>1</v>
      </c>
      <c r="B11" s="132" t="str" cm="1">
        <f t="array" ref="B11">IFERROR(INDEX('Tabella Pesi'!$B$2:$B$16, SMALL(IF(1=$A$3:$A$17, ROW('Tabella Pesi'!$B$2:$B$16)-1,""), ROW()-2)),"")</f>
        <v>La configurazione iniziale di tutti i sistemi e dispositivi è svolta da personale esperto, responsabile per la configurazione sicura degli stessi. Le credenziali di accesso di default sono sempre sostituite.</v>
      </c>
      <c r="C11" s="167">
        <f>IF(B11="","",_xlfn.XLOOKUP(B11,'Val. Maturità'!$B$4:$B$18,'Val. Maturità'!$C$4:$C$18))</f>
        <v>0</v>
      </c>
      <c r="D11" s="180" cm="1">
        <f t="array" ref="D11">IF(B11="","",IF(INDEX('Tabella Pesi'!$A$1:$Q$16,_xlfn.XMATCH(B11,'Tabella Pesi'!$B$1:$B$16),COLUMN('Tabella Pesi'!$K$1))=Engine!G$48,Engine!G$49,IF(INDEX('Tabella Pesi'!$A$1:$Q$16,_xlfn.XMATCH(B11,'Tabella Pesi'!$B$1:$B$16),COLUMN('Tabella Pesi'!$K$1))=Engine!H$48,Engine!H$49,Engine!$J$49)))</f>
        <v>1</v>
      </c>
      <c r="E11" s="278">
        <f>IF(C11="","",IF(C11=Engine!$B$27,"N/A",IF(C11=Engine!$B$24,1,IF(C11=Engine!$B$25,0.5,0))))</f>
        <v>0</v>
      </c>
      <c r="F11" s="767"/>
      <c r="R11" s="84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</row>
    <row r="12" spans="1:42" ht="46.5" x14ac:dyDescent="0.35">
      <c r="A12" s="78">
        <f>IF(OR('Tabella Pesi'!K11=Engine!$G$48,'Tabella Pesi'!K11=Engine!$H$48,'Tabella Pesi'!K11=Engine!$J$48),1,0)</f>
        <v>1</v>
      </c>
      <c r="B12" s="132" t="str" cm="1">
        <f t="array" ref="B12">IFERROR(INDEX('Tabella Pesi'!$B$2:$B$16, SMALL(IF(1=$A$3:$A$17, ROW('Tabella Pesi'!$B$2:$B$16)-1,""), ROW()-2)),"")</f>
        <v>Sono eseguiti periodicamente backup delle informazioni e dei dati critici per l’azienda (identificati al controllo 3). I backup sono conservati in modo sicuro e verificati periodicamente.</v>
      </c>
      <c r="C12" s="167">
        <f>IF(B12="","",_xlfn.XLOOKUP(B12,'Val. Maturità'!$B$4:$B$18,'Val. Maturità'!$C$4:$C$18))</f>
        <v>0</v>
      </c>
      <c r="D12" s="180" cm="1">
        <f t="array" ref="D12">IF(B12="","",IF(INDEX('Tabella Pesi'!$A$1:$Q$16,_xlfn.XMATCH(B12,'Tabella Pesi'!$B$1:$B$16),COLUMN('Tabella Pesi'!$K$1))=Engine!G$48,Engine!G$49,IF(INDEX('Tabella Pesi'!$A$1:$Q$16,_xlfn.XMATCH(B12,'Tabella Pesi'!$B$1:$B$16),COLUMN('Tabella Pesi'!$K$1))=Engine!H$48,Engine!H$49,Engine!$J$49)))</f>
        <v>1</v>
      </c>
      <c r="E12" s="278">
        <f>IF(C12="","",IF(C12=Engine!$B$27,"N/A",IF(C12=Engine!$B$24,1,IF(C12=Engine!$B$25,0.5,0))))</f>
        <v>0</v>
      </c>
      <c r="F12" s="767"/>
      <c r="R12" s="84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</row>
    <row r="13" spans="1:42" ht="46.5" x14ac:dyDescent="0.35">
      <c r="A13" s="78">
        <f>IF(OR('Tabella Pesi'!K12=Engine!$G$48,'Tabella Pesi'!K12=Engine!$H$48,'Tabella Pesi'!K12=Engine!$J$48),1,0)</f>
        <v>1</v>
      </c>
      <c r="B13" s="132" t="str" cm="1">
        <f t="array" ref="B13">IFERROR(INDEX('Tabella Pesi'!$B$2:$B$16, SMALL(IF(1=$A$3:$A$17, ROW('Tabella Pesi'!$B$2:$B$16)-1,""), ROW()-2)),"")</f>
        <v>Le reti e i sistemi sono protetti da accessi non autorizzati attraverso strumenti specifici (es: Firewall e altri dispositivi/software anti-intrusione).</v>
      </c>
      <c r="C13" s="167">
        <f>IF(B13="","",_xlfn.XLOOKUP(B13,'Val. Maturità'!$B$4:$B$18,'Val. Maturità'!$C$4:$C$18))</f>
        <v>0</v>
      </c>
      <c r="D13" s="180" cm="1">
        <f t="array" ref="D13">IF(B13="","",IF(INDEX('Tabella Pesi'!$A$1:$Q$16,_xlfn.XMATCH(B13,'Tabella Pesi'!$B$1:$B$16),COLUMN('Tabella Pesi'!$K$1))=Engine!G$48,Engine!G$49,IF(INDEX('Tabella Pesi'!$A$1:$Q$16,_xlfn.XMATCH(B13,'Tabella Pesi'!$B$1:$B$16),COLUMN('Tabella Pesi'!$K$1))=Engine!H$48,Engine!H$49,Engine!$J$49)))</f>
        <v>1</v>
      </c>
      <c r="E13" s="278">
        <f>IF(C13="","",IF(C13=Engine!$B$27,"N/A",IF(C13=Engine!$B$24,1,IF(C13=Engine!$B$25,0.5,0))))</f>
        <v>0</v>
      </c>
      <c r="F13" s="767"/>
      <c r="R13" s="84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</row>
    <row r="14" spans="1:42" x14ac:dyDescent="0.35">
      <c r="A14" s="78">
        <f>IF(OR('Tabella Pesi'!K13=Engine!$G$48,'Tabella Pesi'!K13=Engine!$H$48,'Tabella Pesi'!K13=Engine!$J$48),1,0)</f>
        <v>1</v>
      </c>
      <c r="B14" s="132" t="str" cm="1">
        <f t="array" ref="B14">IFERROR(INDEX('Tabella Pesi'!$B$2:$B$16, SMALL(IF(1=$A$3:$A$17, ROW('Tabella Pesi'!$B$2:$B$16)-1,""), ROW()-2)),"")</f>
        <v/>
      </c>
      <c r="C14" s="167" t="str">
        <f>IF(B14="","",_xlfn.XLOOKUP(B14,'Val. Maturità'!$B$4:$B$18,'Val. Maturità'!$C$4:$C$18))</f>
        <v/>
      </c>
      <c r="D14" s="180" t="str" cm="1">
        <f t="array" ref="D14">IF(B14="","",IF(INDEX('Tabella Pesi'!$A$1:$Q$16,_xlfn.XMATCH(B14,'Tabella Pesi'!$B$1:$B$16),COLUMN('Tabella Pesi'!$K$1))=Engine!G$48,Engine!G$49,IF(INDEX('Tabella Pesi'!$A$1:$Q$16,_xlfn.XMATCH(B14,'Tabella Pesi'!$B$1:$B$16),COLUMN('Tabella Pesi'!$K$1))=Engine!H$48,Engine!H$49,Engine!$J$49)))</f>
        <v/>
      </c>
      <c r="E14" s="278" t="str">
        <f>IF(C14="","",IF(C14=Engine!$B$27,"N/A",IF(C14=Engine!$B$24,1,IF(C14=Engine!$B$25,0.5,0))))</f>
        <v/>
      </c>
      <c r="F14" s="767"/>
      <c r="R14" s="8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</row>
    <row r="15" spans="1:42" x14ac:dyDescent="0.35">
      <c r="A15" s="78">
        <f>IF(OR('Tabella Pesi'!K14=Engine!$G$48,'Tabella Pesi'!K14=Engine!$H$48,'Tabella Pesi'!K14=Engine!$J$48),1,0)</f>
        <v>1</v>
      </c>
      <c r="B15" s="132" t="str" cm="1">
        <f t="array" ref="B15">IFERROR(INDEX('Tabella Pesi'!$B$2:$B$16, SMALL(IF(1=$A$3:$A$17, ROW('Tabella Pesi'!$B$2:$B$16)-1,""), ROW()-2)),"")</f>
        <v/>
      </c>
      <c r="C15" s="167" t="str">
        <f>IF(B15="","",_xlfn.XLOOKUP(B15,'Val. Maturità'!$B$4:$B$18,'Val. Maturità'!$C$4:$C$18))</f>
        <v/>
      </c>
      <c r="D15" s="180" t="str" cm="1">
        <f t="array" ref="D15">IF(B15="","",IF(INDEX('Tabella Pesi'!$A$1:$Q$16,_xlfn.XMATCH(B15,'Tabella Pesi'!$B$1:$B$16),COLUMN('Tabella Pesi'!$K$1))=Engine!G$48,Engine!G$49,IF(INDEX('Tabella Pesi'!$A$1:$Q$16,_xlfn.XMATCH(B15,'Tabella Pesi'!$B$1:$B$16),COLUMN('Tabella Pesi'!$K$1))=Engine!H$48,Engine!H$49,Engine!$J$49)))</f>
        <v/>
      </c>
      <c r="E15" s="278" t="str">
        <f>IF(C15="","",IF(C15=Engine!$B$27,"N/A",IF(C15=Engine!$B$24,1,IF(C15=Engine!$B$25,0.5,0))))</f>
        <v/>
      </c>
      <c r="F15" s="767"/>
      <c r="R15" s="84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</row>
    <row r="16" spans="1:42" x14ac:dyDescent="0.35">
      <c r="A16" s="78">
        <f>IF(OR('Tabella Pesi'!K15=Engine!$G$48,'Tabella Pesi'!K15=Engine!$H$48,'Tabella Pesi'!K15=Engine!$J$48),1,0)</f>
        <v>0</v>
      </c>
      <c r="B16" s="132" t="str" cm="1">
        <f t="array" ref="B16">IFERROR(INDEX('Tabella Pesi'!$B$2:$B$16, SMALL(IF(1=$A$3:$A$17, ROW('Tabella Pesi'!$B$2:$B$16)-1,""), ROW()-2)),"")</f>
        <v/>
      </c>
      <c r="C16" s="167" t="str">
        <f>IF(B16="","",_xlfn.XLOOKUP(B16,'Val. Maturità'!$B$4:$B$18,'Val. Maturità'!$C$4:$C$18))</f>
        <v/>
      </c>
      <c r="D16" s="180" t="str" cm="1">
        <f t="array" ref="D16">IF(B16="","",IF(INDEX('Tabella Pesi'!$A$1:$Q$16,_xlfn.XMATCH(B16,'Tabella Pesi'!$B$1:$B$16),COLUMN('Tabella Pesi'!$K$1))=Engine!G$48,Engine!G$49,IF(INDEX('Tabella Pesi'!$A$1:$Q$16,_xlfn.XMATCH(B16,'Tabella Pesi'!$B$1:$B$16),COLUMN('Tabella Pesi'!$K$1))=Engine!H$48,Engine!H$49,Engine!$J$49)))</f>
        <v/>
      </c>
      <c r="E16" s="278" t="str">
        <f>IF(C16="","",IF(C16=Engine!$B$27,"N/A",IF(C16=Engine!$B$24,1,IF(C16=Engine!$B$25,0.5,0))))</f>
        <v/>
      </c>
      <c r="F16" s="767"/>
      <c r="R16" s="84"/>
      <c r="AC16"/>
      <c r="AD16"/>
      <c r="AE16"/>
      <c r="AF16"/>
      <c r="AG16"/>
      <c r="AH16"/>
      <c r="AI16"/>
      <c r="AJ16"/>
      <c r="AK16"/>
      <c r="AL16" s="254"/>
      <c r="AM16"/>
      <c r="AN16"/>
      <c r="AO16"/>
      <c r="AP16"/>
    </row>
    <row r="17" spans="1:45" ht="16" thickBot="1" x14ac:dyDescent="0.4">
      <c r="A17" s="79">
        <f>IF(OR('Tabella Pesi'!K16=Engine!$G$48,'Tabella Pesi'!K16=Engine!$H$48,'Tabella Pesi'!K16=Engine!$J$48),1,0)</f>
        <v>0</v>
      </c>
      <c r="B17" s="133" t="str" cm="1">
        <f t="array" ref="B17">IFERROR(INDEX('Tabella Pesi'!$B$2:$B$16, SMALL(IF(1=$A$3:$A$17, ROW('Tabella Pesi'!$B$2:$B$16)-1,""), ROW()-2)),"")</f>
        <v/>
      </c>
      <c r="C17" s="168" t="str">
        <f>IF(B17="","",_xlfn.XLOOKUP(B17,'Val. Maturità'!$B$4:$B$18,'Val. Maturità'!$C$4:$C$18))</f>
        <v/>
      </c>
      <c r="D17" s="182" t="str" cm="1">
        <f t="array" ref="D17">IF(B17="","",IF(INDEX('Tabella Pesi'!$A$1:$Q$16,_xlfn.XMATCH(B17,'Tabella Pesi'!$B$1:$B$16),COLUMN('Tabella Pesi'!$K$1))=Engine!G$48,Engine!G$49,IF(INDEX('Tabella Pesi'!$A$1:$Q$16,_xlfn.XMATCH(B17,'Tabella Pesi'!$B$1:$B$16),COLUMN('Tabella Pesi'!$K$1))=Engine!H$48,Engine!H$49,Engine!$J$49)))</f>
        <v/>
      </c>
      <c r="E17" s="279" t="str">
        <f>IF(C17="","",IF(C17=Engine!$B$27,"N/A",IF(C17=Engine!$B$24,1,IF(C17=Engine!$B$25,0.5,0))))</f>
        <v/>
      </c>
      <c r="F17" s="768"/>
      <c r="R17" s="84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</row>
    <row r="18" spans="1:45" ht="16" thickBot="1" x14ac:dyDescent="0.4">
      <c r="A18" s="86"/>
      <c r="B18" s="89"/>
      <c r="C18" s="89"/>
      <c r="D18" s="89"/>
      <c r="E18" s="89"/>
      <c r="F18" s="89"/>
      <c r="G18" s="89"/>
      <c r="H18" s="89"/>
      <c r="I18" s="89"/>
      <c r="J18" s="89"/>
      <c r="K18" s="89"/>
      <c r="L18" s="89"/>
      <c r="M18" s="89"/>
      <c r="N18" s="89"/>
      <c r="O18" s="89"/>
      <c r="P18" s="89"/>
      <c r="Q18" s="89"/>
      <c r="R18" s="90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</row>
    <row r="19" spans="1:45" x14ac:dyDescent="0.35"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</row>
    <row r="20" spans="1:45" x14ac:dyDescent="0.35"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</row>
    <row r="21" spans="1:45" x14ac:dyDescent="0.35"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</row>
    <row r="22" spans="1:45" x14ac:dyDescent="0.35"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</row>
    <row r="23" spans="1:45" x14ac:dyDescent="0.35"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</row>
    <row r="24" spans="1:45" x14ac:dyDescent="0.35"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</row>
    <row r="25" spans="1:45" x14ac:dyDescent="0.35"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</row>
    <row r="26" spans="1:45" x14ac:dyDescent="0.35"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</row>
    <row r="27" spans="1:45" x14ac:dyDescent="0.35"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</row>
    <row r="28" spans="1:45" x14ac:dyDescent="0.35"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</row>
    <row r="29" spans="1:45" x14ac:dyDescent="0.35"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</row>
    <row r="30" spans="1:45" x14ac:dyDescent="0.35"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</row>
    <row r="31" spans="1:45" x14ac:dyDescent="0.35"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</row>
    <row r="32" spans="1:45" x14ac:dyDescent="0.35"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</row>
    <row r="33" spans="32:45" x14ac:dyDescent="0.35"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</row>
    <row r="34" spans="32:45" x14ac:dyDescent="0.35"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</row>
    <row r="35" spans="32:45" x14ac:dyDescent="0.35"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</row>
    <row r="36" spans="32:45" x14ac:dyDescent="0.35"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</row>
    <row r="37" spans="32:45" x14ac:dyDescent="0.35"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</row>
    <row r="38" spans="32:45" x14ac:dyDescent="0.35"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</row>
    <row r="39" spans="32:45" x14ac:dyDescent="0.35"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</row>
    <row r="40" spans="32:45" x14ac:dyDescent="0.35"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</row>
    <row r="41" spans="32:45" x14ac:dyDescent="0.35"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</row>
    <row r="42" spans="32:45" x14ac:dyDescent="0.35"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</row>
    <row r="43" spans="32:45" x14ac:dyDescent="0.35"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</row>
    <row r="44" spans="32:45" x14ac:dyDescent="0.35"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</row>
    <row r="45" spans="32:45" x14ac:dyDescent="0.35"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</row>
    <row r="46" spans="32:45" x14ac:dyDescent="0.35"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</row>
    <row r="47" spans="32:45" x14ac:dyDescent="0.35">
      <c r="AF47"/>
      <c r="AG47"/>
      <c r="AH47" s="716"/>
      <c r="AI47" s="716"/>
      <c r="AJ47" s="254"/>
      <c r="AK47"/>
      <c r="AL47"/>
      <c r="AM47"/>
      <c r="AN47"/>
      <c r="AO47"/>
      <c r="AP47"/>
      <c r="AQ47"/>
      <c r="AR47"/>
      <c r="AS47"/>
    </row>
    <row r="48" spans="32:45" x14ac:dyDescent="0.35"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</row>
    <row r="49" spans="32:45" x14ac:dyDescent="0.35"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</row>
    <row r="50" spans="32:45" x14ac:dyDescent="0.35"/>
  </sheetData>
  <sheetProtection algorithmName="SHA-512" hashValue="dpmzWVecIGHtUrdckKjO8PjoMHTg9yZv5Gc9tu6C45ojHuGu70AdvphDAacqfJOAWKXdL4YrDbKMjQiAC1JOEA==" saltValue="D+38ZJlr9lK4qCWKW9Iw+Q==" spinCount="100000" sheet="1" objects="1" scenarios="1" selectLockedCells="1" selectUnlockedCells="1"/>
  <mergeCells count="6">
    <mergeCell ref="A1:R1"/>
    <mergeCell ref="AM2:AO2"/>
    <mergeCell ref="AH47:AI47"/>
    <mergeCell ref="F3:F17"/>
    <mergeCell ref="I5:L5"/>
    <mergeCell ref="I3:L3"/>
  </mergeCells>
  <conditionalFormatting sqref="AM16:AN16">
    <cfRule type="colorScale" priority="3">
      <colorScale>
        <cfvo type="num" val="0"/>
        <cfvo type="num" val="0.5"/>
        <cfvo type="num" val="1"/>
        <color rgb="FF00B050"/>
        <color rgb="FFFFEB84"/>
        <color theme="5"/>
      </colorScale>
    </cfRule>
  </conditionalFormatting>
  <dataValidations count="1">
    <dataValidation type="list" allowBlank="1" showInputMessage="1" showErrorMessage="1" sqref="P3" xr:uid="{C3DA2857-BC22-4A49-B15F-3C7313817841}">
      <formula1>"0,1,2,3,4,5,6,7,8,9,10"</formula1>
    </dataValidation>
  </dataValidation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" id="{2523B420-B9BD-45EE-B3D8-EB85606A0C01}">
            <xm:f>COUNTA(B3:B17)-COUNTIFS(B3:B17,"")&lt;&gt;'Tabella Pesi'!$K$17</xm:f>
            <x14:dxf>
              <fill>
                <patternFill>
                  <bgColor rgb="FFFF0000"/>
                </patternFill>
              </fill>
            </x14:dxf>
          </x14:cfRule>
          <xm:sqref>B2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6879F6-DFC6-48B2-81AF-6788EC1F268B}">
  <sheetPr codeName="Foglio14">
    <tabColor theme="7"/>
  </sheetPr>
  <dimension ref="A1:AS50"/>
  <sheetViews>
    <sheetView showGridLines="0" topLeftCell="B1" zoomScale="60" zoomScaleNormal="60" workbookViewId="0">
      <selection activeCell="B1" sqref="A1:XFD1048576"/>
    </sheetView>
  </sheetViews>
  <sheetFormatPr defaultColWidth="0" defaultRowHeight="14.5" zeroHeight="1" outlineLevelCol="1" x14ac:dyDescent="0.35"/>
  <cols>
    <col min="1" max="1" width="3.54296875" hidden="1" customWidth="1" outlineLevel="1"/>
    <col min="2" max="2" width="75.1796875" customWidth="1" collapsed="1"/>
    <col min="3" max="3" width="8.81640625" customWidth="1"/>
    <col min="4" max="4" width="6.81640625" hidden="1" customWidth="1" outlineLevel="1"/>
    <col min="5" max="5" width="8.81640625" hidden="1" customWidth="1" outlineLevel="1"/>
    <col min="6" max="6" width="8.81640625" customWidth="1" collapsed="1"/>
    <col min="7" max="45" width="8.81640625" customWidth="1"/>
    <col min="46" max="16384" width="8.81640625" hidden="1"/>
  </cols>
  <sheetData>
    <row r="1" spans="1:41" ht="30" customHeight="1" thickBot="1" x14ac:dyDescent="0.4">
      <c r="A1" s="769" t="s">
        <v>41</v>
      </c>
      <c r="B1" s="770"/>
      <c r="C1" s="770"/>
      <c r="D1" s="770"/>
      <c r="E1" s="770"/>
      <c r="F1" s="770"/>
      <c r="G1" s="770"/>
      <c r="H1" s="770"/>
      <c r="I1" s="770"/>
      <c r="J1" s="770"/>
      <c r="K1" s="770"/>
      <c r="L1" s="770"/>
      <c r="M1" s="770"/>
      <c r="N1" s="770"/>
      <c r="O1" s="770"/>
      <c r="P1" s="770"/>
      <c r="Q1" s="770"/>
      <c r="R1" s="771"/>
    </row>
    <row r="2" spans="1:41" ht="15" thickBot="1" x14ac:dyDescent="0.4">
      <c r="A2" s="141"/>
      <c r="R2" s="85"/>
      <c r="AM2" s="716"/>
      <c r="AN2" s="716"/>
      <c r="AO2" s="716"/>
    </row>
    <row r="3" spans="1:41" ht="40.5" customHeight="1" thickBot="1" x14ac:dyDescent="0.4">
      <c r="A3" s="160">
        <f>IF(OR('Tabella Pesi'!L2=Engine!$G$48,'Tabella Pesi'!L2=Engine!$H$48,'Tabella Pesi'!L2=Engine!$J$48),1,0)</f>
        <v>0</v>
      </c>
      <c r="B3" s="153" t="str" cm="1">
        <f t="array" ref="B3">IFERROR(INDEX('Tabella Pesi'!$B$2:$B$16, SMALL(IF(1=$A$3:$A$17, ROW('Tabella Pesi'!$B$2:$B$16)-1,""), ROW()-2)),"")</f>
        <v>I servizi web (social network, cloud computing, posta elettronica, spazio web, ecc.) offerti da terze parti a cui si è registrati sono quelli strettamente necessari.</v>
      </c>
      <c r="C3" s="169">
        <f>IF(B3="","",_xlfn.XLOOKUP(B3,'Val. Maturità'!$B$4:$B$18,'Val. Maturità'!$C$4:$C$18))</f>
        <v>0</v>
      </c>
      <c r="D3" s="184" cm="1">
        <f t="array" ref="D3">IF(B3="","",IF(INDEX('Tabella Pesi'!$A$1:$Q$16,_xlfn.XMATCH(B3,'Tabella Pesi'!$B$1:$B$16),COLUMN('Tabella Pesi'!$L$1))=Engine!G$48,Engine!G$49,IF(INDEX('Tabella Pesi'!$A$1:$Q$16,_xlfn.XMATCH(B3,'Tabella Pesi'!$B$1:$B$16),COLUMN('Tabella Pesi'!$L$1))=Engine!H$48,Engine!H$49,Engine!$J$49)))</f>
        <v>1</v>
      </c>
      <c r="E3" s="277">
        <f>IF(C3="","",IF(C3=Engine!$B$27,"N/A",IF(C3=Engine!$B$24,1,IF(C3=Engine!$B$25,0.5,0))))</f>
        <v>0</v>
      </c>
      <c r="F3" s="772" cm="1">
        <f t="array" ref="F3">(SUMPRODUCT(--(E3:E17&lt;&gt;"N/A"),E3:E17,D3:D17)/SUMIF(E3:E17,"&lt;&gt;N/A",D3:D17))*10</f>
        <v>0</v>
      </c>
      <c r="H3" s="20"/>
      <c r="I3" s="723" t="s">
        <v>296</v>
      </c>
      <c r="J3" s="724"/>
      <c r="K3" s="724"/>
      <c r="L3" s="725"/>
      <c r="M3" s="115" t="e">
        <f>Engine!$H$58+((Engine!$D$57-Engine!$H$58)/(1+Engine!$D$58*EXP(-Engine!$H$57*(F3-Engine!$F$57)))^(1/Engine!$F$58))</f>
        <v>#VALUE!</v>
      </c>
      <c r="Q3" s="20"/>
      <c r="R3" s="85"/>
    </row>
    <row r="4" spans="1:41" ht="47" thickBot="1" x14ac:dyDescent="0.4">
      <c r="A4" s="161">
        <f>IF(OR('Tabella Pesi'!L3=Engine!$G$48,'Tabella Pesi'!L3=Engine!$H$48,'Tabella Pesi'!L3=Engine!$J$48),1,0)</f>
        <v>1</v>
      </c>
      <c r="B4" s="116" t="str" cm="1">
        <f t="array" ref="B4">IFERROR(INDEX('Tabella Pesi'!$B$2:$B$16, SMALL(IF(1=$A$3:$A$17, ROW('Tabella Pesi'!$B$2:$B$16)-1,""), ROW()-2)),"")</f>
        <v>Sono identificate e rispettate le leggi e/o i regolamenti con rilevanza in tema di cybersecurity che risultino applicabili per l’azienda.</v>
      </c>
      <c r="C4" s="170">
        <f>IF(B4="","",_xlfn.XLOOKUP(B4,'Val. Maturità'!$B$4:$B$18,'Val. Maturità'!$C$4:$C$18))</f>
        <v>0</v>
      </c>
      <c r="D4" s="185" cm="1">
        <f t="array" ref="D4">IF(B4="","",IF(INDEX('Tabella Pesi'!$A$1:$Q$16,_xlfn.XMATCH(B4,'Tabella Pesi'!$B$1:$B$16),COLUMN('Tabella Pesi'!$L$1))=Engine!G$48,Engine!G$49,IF(INDEX('Tabella Pesi'!$A$1:$Q$16,_xlfn.XMATCH(B4,'Tabella Pesi'!$B$1:$B$16),COLUMN('Tabella Pesi'!$L$1))=Engine!H$48,Engine!H$49,Engine!$J$49)))</f>
        <v>1</v>
      </c>
      <c r="E4" s="278">
        <f>IF(C4="","",IF(C4=Engine!$B$27,"N/A",IF(C4=Engine!$B$24,1,IF(C4=Engine!$B$25,0.5,0))))</f>
        <v>0</v>
      </c>
      <c r="F4" s="773"/>
      <c r="H4" s="20"/>
      <c r="I4" s="20"/>
      <c r="J4" s="20"/>
      <c r="K4" s="20"/>
      <c r="L4" s="20"/>
      <c r="M4" s="20"/>
      <c r="N4" s="20"/>
      <c r="O4" s="20"/>
      <c r="P4" s="20"/>
      <c r="Q4" s="20"/>
      <c r="R4" s="85"/>
    </row>
    <row r="5" spans="1:41" ht="48" customHeight="1" thickBot="1" x14ac:dyDescent="0.4">
      <c r="A5" s="161">
        <f>IF(OR('Tabella Pesi'!L4=Engine!$G$48,'Tabella Pesi'!L4=Engine!$H$48,'Tabella Pesi'!L4=Engine!$J$48),1,0)</f>
        <v>0</v>
      </c>
      <c r="B5" s="116" t="str" cm="1">
        <f t="array" ref="B5">IFERROR(INDEX('Tabella Pesi'!$B$2:$B$16, SMALL(IF(1=$A$3:$A$17, ROW('Tabella Pesi'!$B$2:$B$16)-1,""), ROW()-2)),"")</f>
        <v>Tutti i dispositivi che lo consentono sono dotati di software di protezione (antivirus, antimalware, ecc...) regolarmente aggiornato.</v>
      </c>
      <c r="C5" s="170">
        <f>IF(B5="","",_xlfn.XLOOKUP(B5,'Val. Maturità'!$B$4:$B$18,'Val. Maturità'!$C$4:$C$18))</f>
        <v>0</v>
      </c>
      <c r="D5" s="185" cm="1">
        <f t="array" ref="D5">IF(B5="","",IF(INDEX('Tabella Pesi'!$A$1:$Q$16,_xlfn.XMATCH(B5,'Tabella Pesi'!$B$1:$B$16),COLUMN('Tabella Pesi'!$L$1))=Engine!G$48,Engine!G$49,IF(INDEX('Tabella Pesi'!$A$1:$Q$16,_xlfn.XMATCH(B5,'Tabella Pesi'!$B$1:$B$16),COLUMN('Tabella Pesi'!$L$1))=Engine!H$48,Engine!H$49,Engine!$J$49)))</f>
        <v>1</v>
      </c>
      <c r="E5" s="278">
        <f>IF(C5="","",IF(C5=Engine!$B$27,"N/A",IF(C5=Engine!$B$24,1,IF(C5=Engine!$B$25,0.5,0))))</f>
        <v>0</v>
      </c>
      <c r="F5" s="773"/>
      <c r="H5" s="20"/>
      <c r="I5" s="720" t="s">
        <v>88</v>
      </c>
      <c r="J5" s="721"/>
      <c r="K5" s="721"/>
      <c r="L5" s="722"/>
      <c r="M5" s="255" t="e">
        <f>M3*'Val. Maturità'!Q5</f>
        <v>#VALUE!</v>
      </c>
      <c r="N5" s="20"/>
      <c r="Q5" s="20"/>
      <c r="R5" s="85"/>
    </row>
    <row r="6" spans="1:41" ht="31" x14ac:dyDescent="0.35">
      <c r="A6" s="161">
        <f>IF(OR('Tabella Pesi'!L5=Engine!$G$48,'Tabella Pesi'!L5=Engine!$H$48,'Tabella Pesi'!L5=Engine!$J$48),1,0)</f>
        <v>0</v>
      </c>
      <c r="B6" s="116" t="str" cm="1">
        <f t="array" ref="B6">IFERROR(INDEX('Tabella Pesi'!$B$2:$B$16, SMALL(IF(1=$A$3:$A$17, ROW('Tabella Pesi'!$B$2:$B$16)-1,""), ROW()-2)),"")</f>
        <v>La configurazione iniziale di tutti i sistemi e dispositivi è svolta da personale esperto, responsabile per la configurazione sicura degli stessi. Le credenziali di accesso di default sono sempre sostituite.</v>
      </c>
      <c r="C6" s="170">
        <f>IF(B6="","",_xlfn.XLOOKUP(B6,'Val. Maturità'!$B$4:$B$18,'Val. Maturità'!$C$4:$C$18))</f>
        <v>0</v>
      </c>
      <c r="D6" s="185" cm="1">
        <f t="array" ref="D6">IF(B6="","",IF(INDEX('Tabella Pesi'!$A$1:$Q$16,_xlfn.XMATCH(B6,'Tabella Pesi'!$B$1:$B$16),COLUMN('Tabella Pesi'!$L$1))=Engine!G$48,Engine!G$49,IF(INDEX('Tabella Pesi'!$A$1:$Q$16,_xlfn.XMATCH(B6,'Tabella Pesi'!$B$1:$B$16),COLUMN('Tabella Pesi'!$L$1))=Engine!H$48,Engine!H$49,Engine!$J$49)))</f>
        <v>1</v>
      </c>
      <c r="E6" s="278">
        <f>IF(C6="","",IF(C6=Engine!$B$27,"N/A",IF(C6=Engine!$B$24,1,IF(C6=Engine!$B$25,0.5,0))))</f>
        <v>0</v>
      </c>
      <c r="F6" s="773"/>
      <c r="R6" s="85"/>
    </row>
    <row r="7" spans="1:41" ht="46.5" x14ac:dyDescent="0.35">
      <c r="A7" s="161">
        <f>IF(OR('Tabella Pesi'!L6=Engine!$G$48,'Tabella Pesi'!L6=Engine!$H$48,'Tabella Pesi'!L6=Engine!$J$48),1,0)</f>
        <v>1</v>
      </c>
      <c r="B7" s="116" t="str" cm="1">
        <f t="array" ref="B7">IFERROR(INDEX('Tabella Pesi'!$B$2:$B$16, SMALL(IF(1=$A$3:$A$17, ROW('Tabella Pesi'!$B$2:$B$16)-1,""), ROW()-2)),"")</f>
        <v>Sono eseguiti periodicamente backup delle informazioni e dei dati critici per l’azienda (identificati al controllo 3). I backup sono conservati in modo sicuro e verificati periodicamente.</v>
      </c>
      <c r="C7" s="170">
        <f>IF(B7="","",_xlfn.XLOOKUP(B7,'Val. Maturità'!$B$4:$B$18,'Val. Maturità'!$C$4:$C$18))</f>
        <v>0</v>
      </c>
      <c r="D7" s="185" cm="1">
        <f t="array" ref="D7">IF(B7="","",IF(INDEX('Tabella Pesi'!$A$1:$Q$16,_xlfn.XMATCH(B7,'Tabella Pesi'!$B$1:$B$16),COLUMN('Tabella Pesi'!$L$1))=Engine!G$48,Engine!G$49,IF(INDEX('Tabella Pesi'!$A$1:$Q$16,_xlfn.XMATCH(B7,'Tabella Pesi'!$B$1:$B$16),COLUMN('Tabella Pesi'!$L$1))=Engine!H$48,Engine!H$49,Engine!$J$49)))</f>
        <v>1</v>
      </c>
      <c r="E7" s="278">
        <f>IF(C7="","",IF(C7=Engine!$B$27,"N/A",IF(C7=Engine!$B$24,1,IF(C7=Engine!$B$25,0.5,0))))</f>
        <v>0</v>
      </c>
      <c r="F7" s="773"/>
      <c r="R7" s="85"/>
    </row>
    <row r="8" spans="1:41" ht="46.5" x14ac:dyDescent="0.35">
      <c r="A8" s="161">
        <f>IF(OR('Tabella Pesi'!L7=Engine!$G$48,'Tabella Pesi'!L7=Engine!$H$48,'Tabella Pesi'!L7=Engine!$J$48),1,0)</f>
        <v>1</v>
      </c>
      <c r="B8" s="116" t="str" cm="1">
        <f t="array" ref="B8">IFERROR(INDEX('Tabella Pesi'!$B$2:$B$16, SMALL(IF(1=$A$3:$A$17, ROW('Tabella Pesi'!$B$2:$B$16)-1,""), ROW()-2)),"")</f>
        <v>Le reti e i sistemi sono protetti da accessi non autorizzati attraverso strumenti specifici (es: Firewall e altri dispositivi/software anti-intrusione).</v>
      </c>
      <c r="C8" s="170">
        <f>IF(B8="","",_xlfn.XLOOKUP(B8,'Val. Maturità'!$B$4:$B$18,'Val. Maturità'!$C$4:$C$18))</f>
        <v>0</v>
      </c>
      <c r="D8" s="185" cm="1">
        <f t="array" ref="D8">IF(B8="","",IF(INDEX('Tabella Pesi'!$A$1:$Q$16,_xlfn.XMATCH(B8,'Tabella Pesi'!$B$1:$B$16),COLUMN('Tabella Pesi'!$L$1))=Engine!G$48,Engine!G$49,IF(INDEX('Tabella Pesi'!$A$1:$Q$16,_xlfn.XMATCH(B8,'Tabella Pesi'!$B$1:$B$16),COLUMN('Tabella Pesi'!$L$1))=Engine!H$48,Engine!H$49,Engine!$J$49)))</f>
        <v>1</v>
      </c>
      <c r="E8" s="278">
        <f>IF(C8="","",IF(C8=Engine!$B$27,"N/A",IF(C8=Engine!$B$24,1,IF(C8=Engine!$B$25,0.5,0))))</f>
        <v>0</v>
      </c>
      <c r="F8" s="773"/>
      <c r="R8" s="85"/>
    </row>
    <row r="9" spans="1:41" ht="15.5" x14ac:dyDescent="0.35">
      <c r="A9" s="161">
        <f>IF(OR('Tabella Pesi'!L8=Engine!$G$48,'Tabella Pesi'!L8=Engine!$H$48,'Tabella Pesi'!L8=Engine!$J$48),1,0)</f>
        <v>0</v>
      </c>
      <c r="B9" s="116" t="str" cm="1">
        <f t="array" ref="B9">IFERROR(INDEX('Tabella Pesi'!$B$2:$B$16, SMALL(IF(1=$A$3:$A$17, ROW('Tabella Pesi'!$B$2:$B$16)-1,""), ROW()-2)),"")</f>
        <v>Tutti i software in uso (inclusi i firmware) sono aggiornati all’ultima versione consigliata dal produttore. I dispositivi o i software obsoleti e non più aggiornabili sono dismessi.</v>
      </c>
      <c r="C9" s="170">
        <f>IF(B9="","",_xlfn.XLOOKUP(B9,'Val. Maturità'!$B$4:$B$18,'Val. Maturità'!$C$4:$C$18))</f>
        <v>0</v>
      </c>
      <c r="D9" s="185" cm="1">
        <f t="array" ref="D9">IF(B9="","",IF(INDEX('Tabella Pesi'!$A$1:$Q$16,_xlfn.XMATCH(B9,'Tabella Pesi'!$B$1:$B$16),COLUMN('Tabella Pesi'!$L$1))=Engine!G$48,Engine!G$49,IF(INDEX('Tabella Pesi'!$A$1:$Q$16,_xlfn.XMATCH(B9,'Tabella Pesi'!$B$1:$B$16),COLUMN('Tabella Pesi'!$L$1))=Engine!H$48,Engine!H$49,Engine!$J$49)))</f>
        <v>1</v>
      </c>
      <c r="E9" s="278">
        <f>IF(C9="","",IF(C9=Engine!$B$27,"N/A",IF(C9=Engine!$B$24,1,IF(C9=Engine!$B$25,0.5,0))))</f>
        <v>0</v>
      </c>
      <c r="F9" s="773"/>
      <c r="R9" s="85"/>
    </row>
    <row r="10" spans="1:41" ht="15.5" x14ac:dyDescent="0.35">
      <c r="A10" s="161">
        <f>IF(OR('Tabella Pesi'!L9=Engine!$G$48,'Tabella Pesi'!L9=Engine!$H$48,'Tabella Pesi'!L9=Engine!$J$48),1,0)</f>
        <v>0</v>
      </c>
      <c r="B10" s="116" t="str" cm="1">
        <f t="array" ref="B10">IFERROR(INDEX('Tabella Pesi'!$B$2:$B$16, SMALL(IF(1=$A$3:$A$17, ROW('Tabella Pesi'!$B$2:$B$16)-1,""), ROW()-2)),"")</f>
        <v/>
      </c>
      <c r="C10" s="170" t="str">
        <f>IF(B10="","",_xlfn.XLOOKUP(B10,'Val. Maturità'!$B$4:$B$18,'Val. Maturità'!$C$4:$C$18))</f>
        <v/>
      </c>
      <c r="D10" s="185" t="str" cm="1">
        <f t="array" ref="D10">IF(B10="","",IF(INDEX('Tabella Pesi'!$A$1:$Q$16,_xlfn.XMATCH(B10,'Tabella Pesi'!$B$1:$B$16),COLUMN('Tabella Pesi'!$L$1))=Engine!G$48,Engine!G$49,IF(INDEX('Tabella Pesi'!$A$1:$Q$16,_xlfn.XMATCH(B10,'Tabella Pesi'!$B$1:$B$16),COLUMN('Tabella Pesi'!$L$1))=Engine!H$48,Engine!H$49,Engine!$J$49)))</f>
        <v/>
      </c>
      <c r="E10" s="278" t="str">
        <f>IF(C10="","",IF(C10=Engine!$B$27,"N/A",IF(C10=Engine!$B$24,1,IF(C10=Engine!$B$25,0.5,0))))</f>
        <v/>
      </c>
      <c r="F10" s="773"/>
      <c r="R10" s="85"/>
    </row>
    <row r="11" spans="1:41" ht="15.5" x14ac:dyDescent="0.35">
      <c r="A11" s="161">
        <f>IF(OR('Tabella Pesi'!L10=Engine!$G$48,'Tabella Pesi'!L10=Engine!$H$48,'Tabella Pesi'!L10=Engine!$J$48),1,0)</f>
        <v>0</v>
      </c>
      <c r="B11" s="116" t="str" cm="1">
        <f t="array" ref="B11">IFERROR(INDEX('Tabella Pesi'!$B$2:$B$16, SMALL(IF(1=$A$3:$A$17, ROW('Tabella Pesi'!$B$2:$B$16)-1,""), ROW()-2)),"")</f>
        <v/>
      </c>
      <c r="C11" s="170" t="str">
        <f>IF(B11="","",_xlfn.XLOOKUP(B11,'Val. Maturità'!$B$4:$B$18,'Val. Maturità'!$C$4:$C$18))</f>
        <v/>
      </c>
      <c r="D11" s="185" t="str" cm="1">
        <f t="array" ref="D11">IF(B11="","",IF(INDEX('Tabella Pesi'!$A$1:$Q$16,_xlfn.XMATCH(B11,'Tabella Pesi'!$B$1:$B$16),COLUMN('Tabella Pesi'!$L$1))=Engine!G$48,Engine!G$49,IF(INDEX('Tabella Pesi'!$A$1:$Q$16,_xlfn.XMATCH(B11,'Tabella Pesi'!$B$1:$B$16),COLUMN('Tabella Pesi'!$L$1))=Engine!H$48,Engine!H$49,Engine!$J$49)))</f>
        <v/>
      </c>
      <c r="E11" s="278" t="str">
        <f>IF(C11="","",IF(C11=Engine!$B$27,"N/A",IF(C11=Engine!$B$24,1,IF(C11=Engine!$B$25,0.5,0))))</f>
        <v/>
      </c>
      <c r="F11" s="773"/>
      <c r="R11" s="85"/>
    </row>
    <row r="12" spans="1:41" ht="15.5" x14ac:dyDescent="0.35">
      <c r="A12" s="161">
        <f>IF(OR('Tabella Pesi'!L11=Engine!$G$48,'Tabella Pesi'!L11=Engine!$H$48,'Tabella Pesi'!L11=Engine!$J$48),1,0)</f>
        <v>0</v>
      </c>
      <c r="B12" s="116" t="str" cm="1">
        <f t="array" ref="B12">IFERROR(INDEX('Tabella Pesi'!$B$2:$B$16, SMALL(IF(1=$A$3:$A$17, ROW('Tabella Pesi'!$B$2:$B$16)-1,""), ROW()-2)),"")</f>
        <v/>
      </c>
      <c r="C12" s="170" t="str">
        <f>IF(B12="","",_xlfn.XLOOKUP(B12,'Val. Maturità'!$B$4:$B$18,'Val. Maturità'!$C$4:$C$18))</f>
        <v/>
      </c>
      <c r="D12" s="185" t="str" cm="1">
        <f t="array" ref="D12">IF(B12="","",IF(INDEX('Tabella Pesi'!$A$1:$Q$16,_xlfn.XMATCH(B12,'Tabella Pesi'!$B$1:$B$16),COLUMN('Tabella Pesi'!$L$1))=Engine!G$48,Engine!G$49,IF(INDEX('Tabella Pesi'!$A$1:$Q$16,_xlfn.XMATCH(B12,'Tabella Pesi'!$B$1:$B$16),COLUMN('Tabella Pesi'!$L$1))=Engine!H$48,Engine!H$49,Engine!$J$49)))</f>
        <v/>
      </c>
      <c r="E12" s="278" t="str">
        <f>IF(C12="","",IF(C12=Engine!$B$27,"N/A",IF(C12=Engine!$B$24,1,IF(C12=Engine!$B$25,0.5,0))))</f>
        <v/>
      </c>
      <c r="F12" s="773"/>
      <c r="R12" s="85"/>
    </row>
    <row r="13" spans="1:41" ht="15.5" x14ac:dyDescent="0.35">
      <c r="A13" s="161">
        <f>IF(OR('Tabella Pesi'!L12=Engine!$G$48,'Tabella Pesi'!L12=Engine!$H$48,'Tabella Pesi'!L12=Engine!$J$48),1,0)</f>
        <v>1</v>
      </c>
      <c r="B13" s="116" t="str" cm="1">
        <f t="array" ref="B13">IFERROR(INDEX('Tabella Pesi'!$B$2:$B$16, SMALL(IF(1=$A$3:$A$17, ROW('Tabella Pesi'!$B$2:$B$16)-1,""), ROW()-2)),"")</f>
        <v/>
      </c>
      <c r="C13" s="170" t="str">
        <f>IF(B13="","",_xlfn.XLOOKUP(B13,'Val. Maturità'!$B$4:$B$18,'Val. Maturità'!$C$4:$C$18))</f>
        <v/>
      </c>
      <c r="D13" s="185" t="str" cm="1">
        <f t="array" ref="D13">IF(B13="","",IF(INDEX('Tabella Pesi'!$A$1:$Q$16,_xlfn.XMATCH(B13,'Tabella Pesi'!$B$1:$B$16),COLUMN('Tabella Pesi'!$L$1))=Engine!G$48,Engine!G$49,IF(INDEX('Tabella Pesi'!$A$1:$Q$16,_xlfn.XMATCH(B13,'Tabella Pesi'!$B$1:$B$16),COLUMN('Tabella Pesi'!$L$1))=Engine!H$48,Engine!H$49,Engine!$J$49)))</f>
        <v/>
      </c>
      <c r="E13" s="278" t="str">
        <f>IF(C13="","",IF(C13=Engine!$B$27,"N/A",IF(C13=Engine!$B$24,1,IF(C13=Engine!$B$25,0.5,0))))</f>
        <v/>
      </c>
      <c r="F13" s="773"/>
      <c r="R13" s="85"/>
    </row>
    <row r="14" spans="1:41" ht="15.5" x14ac:dyDescent="0.35">
      <c r="A14" s="161">
        <f>IF(OR('Tabella Pesi'!L13=Engine!$G$48,'Tabella Pesi'!L13=Engine!$H$48,'Tabella Pesi'!L13=Engine!$J$48),1,0)</f>
        <v>1</v>
      </c>
      <c r="B14" s="116" t="str" cm="1">
        <f t="array" ref="B14">IFERROR(INDEX('Tabella Pesi'!$B$2:$B$16, SMALL(IF(1=$A$3:$A$17, ROW('Tabella Pesi'!$B$2:$B$16)-1,""), ROW()-2)),"")</f>
        <v/>
      </c>
      <c r="C14" s="170" t="str">
        <f>IF(B14="","",_xlfn.XLOOKUP(B14,'Val. Maturità'!$B$4:$B$18,'Val. Maturità'!$C$4:$C$18))</f>
        <v/>
      </c>
      <c r="D14" s="185" t="str" cm="1">
        <f t="array" ref="D14">IF(B14="","",IF(INDEX('Tabella Pesi'!$A$1:$Q$16,_xlfn.XMATCH(B14,'Tabella Pesi'!$B$1:$B$16),COLUMN('Tabella Pesi'!$L$1))=Engine!G$48,Engine!G$49,IF(INDEX('Tabella Pesi'!$A$1:$Q$16,_xlfn.XMATCH(B14,'Tabella Pesi'!$B$1:$B$16),COLUMN('Tabella Pesi'!$L$1))=Engine!H$48,Engine!H$49,Engine!$J$49)))</f>
        <v/>
      </c>
      <c r="E14" s="278" t="str">
        <f>IF(C14="","",IF(C14=Engine!$B$27,"N/A",IF(C14=Engine!$B$24,1,IF(C14=Engine!$B$25,0.5,0))))</f>
        <v/>
      </c>
      <c r="F14" s="773"/>
      <c r="R14" s="85"/>
    </row>
    <row r="15" spans="1:41" ht="15.5" x14ac:dyDescent="0.35">
      <c r="A15" s="161">
        <f>IF(OR('Tabella Pesi'!L14=Engine!$G$48,'Tabella Pesi'!L14=Engine!$H$48,'Tabella Pesi'!L14=Engine!$J$48),1,0)</f>
        <v>1</v>
      </c>
      <c r="B15" s="116" t="str" cm="1">
        <f t="array" ref="B15">IFERROR(INDEX('Tabella Pesi'!$B$2:$B$16, SMALL(IF(1=$A$3:$A$17, ROW('Tabella Pesi'!$B$2:$B$16)-1,""), ROW()-2)),"")</f>
        <v/>
      </c>
      <c r="C15" s="170" t="str">
        <f>IF(B15="","",_xlfn.XLOOKUP(B15,'Val. Maturità'!$B$4:$B$18,'Val. Maturità'!$C$4:$C$18))</f>
        <v/>
      </c>
      <c r="D15" s="185" t="str" cm="1">
        <f t="array" ref="D15">IF(B15="","",IF(INDEX('Tabella Pesi'!$A$1:$Q$16,_xlfn.XMATCH(B15,'Tabella Pesi'!$B$1:$B$16),COLUMN('Tabella Pesi'!$L$1))=Engine!G$48,Engine!G$49,IF(INDEX('Tabella Pesi'!$A$1:$Q$16,_xlfn.XMATCH(B15,'Tabella Pesi'!$B$1:$B$16),COLUMN('Tabella Pesi'!$L$1))=Engine!H$48,Engine!H$49,Engine!$J$49)))</f>
        <v/>
      </c>
      <c r="E15" s="278" t="str">
        <f>IF(C15="","",IF(C15=Engine!$B$27,"N/A",IF(C15=Engine!$B$24,1,IF(C15=Engine!$B$25,0.5,0))))</f>
        <v/>
      </c>
      <c r="F15" s="773"/>
      <c r="R15" s="85"/>
    </row>
    <row r="16" spans="1:41" ht="15.5" x14ac:dyDescent="0.35">
      <c r="A16" s="161">
        <f>IF(OR('Tabella Pesi'!L15=Engine!$G$48,'Tabella Pesi'!L15=Engine!$H$48,'Tabella Pesi'!L15=Engine!$J$48),1,0)</f>
        <v>0</v>
      </c>
      <c r="B16" s="116" t="str" cm="1">
        <f t="array" ref="B16">IFERROR(INDEX('Tabella Pesi'!$B$2:$B$16, SMALL(IF(1=$A$3:$A$17, ROW('Tabella Pesi'!$B$2:$B$16)-1,""), ROW()-2)),"")</f>
        <v/>
      </c>
      <c r="C16" s="170" t="str">
        <f>IF(B16="","",_xlfn.XLOOKUP(B16,'Val. Maturità'!$B$4:$B$18,'Val. Maturità'!$C$4:$C$18))</f>
        <v/>
      </c>
      <c r="D16" s="185" t="str" cm="1">
        <f t="array" ref="D16">IF(B16="","",IF(INDEX('Tabella Pesi'!$A$1:$Q$16,_xlfn.XMATCH(B16,'Tabella Pesi'!$B$1:$B$16),COLUMN('Tabella Pesi'!$L$1))=Engine!G$48,Engine!G$49,IF(INDEX('Tabella Pesi'!$A$1:$Q$16,_xlfn.XMATCH(B16,'Tabella Pesi'!$B$1:$B$16),COLUMN('Tabella Pesi'!$L$1))=Engine!H$48,Engine!H$49,Engine!$J$49)))</f>
        <v/>
      </c>
      <c r="E16" s="278" t="str">
        <f>IF(C16="","",IF(C16=Engine!$B$27,"N/A",IF(C16=Engine!$B$24,1,IF(C16=Engine!$B$25,0.5,0))))</f>
        <v/>
      </c>
      <c r="F16" s="773"/>
      <c r="R16" s="85"/>
      <c r="AL16" s="254"/>
    </row>
    <row r="17" spans="1:18" ht="16" thickBot="1" x14ac:dyDescent="0.4">
      <c r="A17" s="162">
        <f>IF(OR('Tabella Pesi'!L16=Engine!$G$48,'Tabella Pesi'!L16=Engine!$H$48,'Tabella Pesi'!L16=Engine!$J$48),1,0)</f>
        <v>1</v>
      </c>
      <c r="B17" s="117" t="str" cm="1">
        <f t="array" ref="B17">IFERROR(INDEX('Tabella Pesi'!$B$2:$B$16, SMALL(IF(1=$A$3:$A$17, ROW('Tabella Pesi'!$B$2:$B$16)-1,""), ROW()-2)),"")</f>
        <v/>
      </c>
      <c r="C17" s="171" t="str">
        <f>IF(B17="","",_xlfn.XLOOKUP(B17,'Val. Maturità'!$B$4:$B$18,'Val. Maturità'!$C$4:$C$18))</f>
        <v/>
      </c>
      <c r="D17" s="186" t="str" cm="1">
        <f t="array" ref="D17">IF(B17="","",IF(INDEX('Tabella Pesi'!$A$1:$Q$16,_xlfn.XMATCH(B17,'Tabella Pesi'!$B$1:$B$16),COLUMN('Tabella Pesi'!$L$1))=Engine!G$48,Engine!G$49,IF(INDEX('Tabella Pesi'!$A$1:$Q$16,_xlfn.XMATCH(B17,'Tabella Pesi'!$B$1:$B$16),COLUMN('Tabella Pesi'!$L$1))=Engine!H$48,Engine!H$49,Engine!$J$49)))</f>
        <v/>
      </c>
      <c r="E17" s="279" t="str">
        <f>IF(C17="","",IF(C17=Engine!$B$27,"N/A",IF(C17=Engine!$B$24,1,IF(C17=Engine!$B$25,0.5,0))))</f>
        <v/>
      </c>
      <c r="F17" s="774"/>
      <c r="R17" s="85"/>
    </row>
    <row r="18" spans="1:18" ht="15" thickBot="1" x14ac:dyDescent="0.4">
      <c r="A18" s="147"/>
      <c r="B18" s="148"/>
      <c r="C18" s="148"/>
      <c r="D18" s="148"/>
      <c r="E18" s="148"/>
      <c r="F18" s="148"/>
      <c r="G18" s="148"/>
      <c r="H18" s="148"/>
      <c r="I18" s="148"/>
      <c r="J18" s="148"/>
      <c r="K18" s="148"/>
      <c r="L18" s="148"/>
      <c r="M18" s="148"/>
      <c r="N18" s="148"/>
      <c r="O18" s="148"/>
      <c r="P18" s="148"/>
      <c r="Q18" s="148"/>
      <c r="R18" s="149"/>
    </row>
    <row r="19" spans="1:18" x14ac:dyDescent="0.35"/>
    <row r="20" spans="1:18" x14ac:dyDescent="0.35"/>
    <row r="21" spans="1:18" x14ac:dyDescent="0.35"/>
    <row r="22" spans="1:18" x14ac:dyDescent="0.35"/>
    <row r="23" spans="1:18" x14ac:dyDescent="0.35"/>
    <row r="24" spans="1:18" x14ac:dyDescent="0.35"/>
    <row r="25" spans="1:18" x14ac:dyDescent="0.35"/>
    <row r="26" spans="1:18" x14ac:dyDescent="0.35"/>
    <row r="27" spans="1:18" x14ac:dyDescent="0.35"/>
    <row r="28" spans="1:18" x14ac:dyDescent="0.35"/>
    <row r="29" spans="1:18" x14ac:dyDescent="0.35"/>
    <row r="30" spans="1:18" x14ac:dyDescent="0.35"/>
    <row r="31" spans="1:18" x14ac:dyDescent="0.35"/>
    <row r="32" spans="1:18" x14ac:dyDescent="0.35"/>
    <row r="33" spans="34:36" x14ac:dyDescent="0.35"/>
    <row r="34" spans="34:36" x14ac:dyDescent="0.35"/>
    <row r="35" spans="34:36" x14ac:dyDescent="0.35"/>
    <row r="36" spans="34:36" x14ac:dyDescent="0.35"/>
    <row r="37" spans="34:36" x14ac:dyDescent="0.35"/>
    <row r="38" spans="34:36" x14ac:dyDescent="0.35"/>
    <row r="39" spans="34:36" x14ac:dyDescent="0.35"/>
    <row r="40" spans="34:36" x14ac:dyDescent="0.35"/>
    <row r="41" spans="34:36" x14ac:dyDescent="0.35"/>
    <row r="42" spans="34:36" x14ac:dyDescent="0.35"/>
    <row r="43" spans="34:36" x14ac:dyDescent="0.35"/>
    <row r="44" spans="34:36" x14ac:dyDescent="0.35"/>
    <row r="45" spans="34:36" x14ac:dyDescent="0.35"/>
    <row r="46" spans="34:36" x14ac:dyDescent="0.35"/>
    <row r="47" spans="34:36" x14ac:dyDescent="0.35">
      <c r="AH47" s="716"/>
      <c r="AI47" s="716"/>
      <c r="AJ47" s="254"/>
    </row>
    <row r="48" spans="34:36" x14ac:dyDescent="0.35"/>
    <row r="49" x14ac:dyDescent="0.35"/>
    <row r="50" x14ac:dyDescent="0.35"/>
  </sheetData>
  <sheetProtection algorithmName="SHA-512" hashValue="J+DV8O3aqlXkeF2YW84pSzUF09yC/GT2RaSODWE77+fd5dQj4XLbO8W0JzxkO7O7XwCb/EylyhDjTjlk038xEA==" saltValue="5Qcd0ZE2wuO9hFZONvYtLw==" spinCount="100000" sheet="1" objects="1" scenarios="1" selectLockedCells="1" selectUnlockedCells="1"/>
  <mergeCells count="6">
    <mergeCell ref="A1:R1"/>
    <mergeCell ref="AM2:AO2"/>
    <mergeCell ref="AH47:AI47"/>
    <mergeCell ref="F3:F17"/>
    <mergeCell ref="I5:L5"/>
    <mergeCell ref="I3:L3"/>
  </mergeCells>
  <conditionalFormatting sqref="AM16:AN16">
    <cfRule type="colorScale" priority="3">
      <colorScale>
        <cfvo type="num" val="0"/>
        <cfvo type="num" val="0.5"/>
        <cfvo type="num" val="1"/>
        <color rgb="FF00B050"/>
        <color rgb="FFFFEB84"/>
        <color theme="5"/>
      </colorScale>
    </cfRule>
  </conditionalFormatting>
  <dataValidations count="1">
    <dataValidation type="list" allowBlank="1" showInputMessage="1" showErrorMessage="1" sqref="P3" xr:uid="{4A76A86E-4E42-4B21-AB70-CD45E9482170}">
      <formula1>"0,1,2,3,4,5,6,7,8,9,10"</formula1>
    </dataValidation>
  </dataValidation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" id="{7B398D82-5134-4474-9724-69A77193226F}">
            <xm:f>COUNTA(B3:B17)-COUNTIFS(B3:B17,"")&lt;&gt;'Tabella Pesi'!$L$17</xm:f>
            <x14:dxf>
              <fill>
                <patternFill>
                  <bgColor rgb="FFFF0000"/>
                </patternFill>
              </fill>
            </x14:dxf>
          </x14:cfRule>
          <xm:sqref>B2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47B020-F527-4E4F-80C5-9D9831F747D3}">
  <sheetPr codeName="Foglio15">
    <tabColor rgb="FFFCA304"/>
  </sheetPr>
  <dimension ref="A1:AS50"/>
  <sheetViews>
    <sheetView showGridLines="0" topLeftCell="B1" zoomScale="60" zoomScaleNormal="60" workbookViewId="0">
      <selection activeCell="B1" sqref="A1:XFD1048576"/>
    </sheetView>
  </sheetViews>
  <sheetFormatPr defaultColWidth="0" defaultRowHeight="15.5" zeroHeight="1" outlineLevelCol="1" x14ac:dyDescent="0.35"/>
  <cols>
    <col min="1" max="1" width="3.54296875" style="21" hidden="1" customWidth="1" outlineLevel="1"/>
    <col min="2" max="2" width="79.453125" style="21" customWidth="1" collapsed="1"/>
    <col min="3" max="3" width="8.81640625" style="21" customWidth="1"/>
    <col min="4" max="4" width="8.6328125" style="21" hidden="1" customWidth="1" outlineLevel="1"/>
    <col min="5" max="5" width="8.81640625" style="21" hidden="1" customWidth="1" outlineLevel="1"/>
    <col min="6" max="6" width="8.1796875" style="21" customWidth="1" collapsed="1"/>
    <col min="7" max="45" width="8.81640625" style="21" customWidth="1"/>
    <col min="46" max="16384" width="8.81640625" style="21" hidden="1"/>
  </cols>
  <sheetData>
    <row r="1" spans="1:42" ht="25.5" customHeight="1" thickBot="1" x14ac:dyDescent="0.4">
      <c r="A1" s="775" t="s">
        <v>42</v>
      </c>
      <c r="B1" s="776"/>
      <c r="C1" s="776"/>
      <c r="D1" s="776"/>
      <c r="E1" s="776"/>
      <c r="F1" s="776"/>
      <c r="G1" s="776"/>
      <c r="H1" s="776"/>
      <c r="I1" s="776"/>
      <c r="J1" s="776"/>
      <c r="K1" s="776"/>
      <c r="L1" s="776"/>
      <c r="M1" s="776"/>
      <c r="N1" s="776"/>
      <c r="O1" s="776"/>
      <c r="P1" s="776"/>
      <c r="Q1" s="776"/>
      <c r="R1" s="777"/>
      <c r="AC1"/>
      <c r="AD1"/>
      <c r="AE1"/>
      <c r="AF1"/>
      <c r="AG1"/>
      <c r="AH1"/>
      <c r="AI1"/>
      <c r="AJ1"/>
      <c r="AK1"/>
      <c r="AL1"/>
      <c r="AM1"/>
      <c r="AN1"/>
      <c r="AO1"/>
      <c r="AP1"/>
    </row>
    <row r="2" spans="1:42" ht="16" thickBot="1" x14ac:dyDescent="0.4">
      <c r="A2" s="141"/>
      <c r="B2"/>
      <c r="C2"/>
      <c r="D2"/>
      <c r="R2" s="150"/>
      <c r="AC2"/>
      <c r="AD2"/>
      <c r="AE2"/>
      <c r="AF2"/>
      <c r="AG2"/>
      <c r="AH2"/>
      <c r="AI2"/>
      <c r="AJ2"/>
      <c r="AK2"/>
      <c r="AL2"/>
      <c r="AM2" s="716"/>
      <c r="AN2" s="716"/>
      <c r="AO2" s="716"/>
      <c r="AP2"/>
    </row>
    <row r="3" spans="1:42" ht="31.5" customHeight="1" thickBot="1" x14ac:dyDescent="0.4">
      <c r="A3" s="118">
        <f>IF(OR('Tabella Pesi'!M2=Engine!$G$48,'Tabella Pesi'!M2=Engine!$H$48,'Tabella Pesi'!M2=Engine!$J$48),1,0)</f>
        <v>1</v>
      </c>
      <c r="B3" s="153" t="str" cm="1">
        <f t="array" ref="B3">IFERROR(INDEX('Tabella Pesi'!$B$2:$B$16, SMALL(IF(1=$A$3:$A$17, ROW('Tabella Pesi'!$B$2:$B$16)-1,""), ROW()-2)),"")</f>
        <v>Esiste ed è mantenuto aggiornato un inventario dei sistemi, dispositivi, software, servizi e applicazioni informatiche in uso all’interno del perimetro aziendale.</v>
      </c>
      <c r="C3" s="163">
        <f>IF(B3="","",_xlfn.XLOOKUP(B3,'Val. Maturità'!$B$4:$B$18,'Val. Maturità'!$C$4:$C$18))</f>
        <v>0</v>
      </c>
      <c r="D3" s="175" cm="1">
        <f t="array" ref="D3">IF(B3="","",IF(INDEX('Tabella Pesi'!$A$1:$Q$16,_xlfn.XMATCH(B3,'Tabella Pesi'!$B$1:$B$16),COLUMN('Tabella Pesi'!$M$1))=Engine!G$48,Engine!G$49,IF(INDEX('Tabella Pesi'!$A$1:$Q$16,_xlfn.XMATCH(B3,'Tabella Pesi'!$B$1:$B$16),COLUMN('Tabella Pesi'!$M$1))=Engine!H$48,Engine!H$49,Engine!$J$49)))</f>
        <v>1</v>
      </c>
      <c r="E3" s="277">
        <f>IF(C3="","",IF(C3=Engine!$B$27,"N/A",IF(C3=Engine!$B$24,1,IF(C3=Engine!$B$25,0.5,0))))</f>
        <v>0</v>
      </c>
      <c r="F3" s="778" cm="1">
        <f t="array" ref="F3">(SUMPRODUCT(--(E3:E17&lt;&gt;"N/A"),E3:E17,D3:D17)/SUMIF(E3:E17,"&lt;&gt;N/A",D3:D17))*10</f>
        <v>0</v>
      </c>
      <c r="H3" s="20"/>
      <c r="I3" s="723" t="s">
        <v>296</v>
      </c>
      <c r="J3" s="724"/>
      <c r="K3" s="724"/>
      <c r="L3" s="725"/>
      <c r="M3" s="115" t="e">
        <f>Engine!$H$58+((Engine!$D$57-Engine!$H$58)/(1+Engine!$D$58*EXP(-Engine!$H$57*(F3-Engine!$F$57)))^(1/Engine!$F$58))</f>
        <v>#VALUE!</v>
      </c>
      <c r="N3"/>
      <c r="O3"/>
      <c r="P3"/>
      <c r="Q3" s="20"/>
      <c r="R3" s="150"/>
      <c r="AC3"/>
      <c r="AD3"/>
      <c r="AE3"/>
      <c r="AF3"/>
      <c r="AG3"/>
      <c r="AH3"/>
      <c r="AI3"/>
      <c r="AJ3"/>
      <c r="AK3"/>
      <c r="AL3"/>
      <c r="AM3"/>
      <c r="AN3"/>
      <c r="AO3"/>
      <c r="AP3"/>
    </row>
    <row r="4" spans="1:42" ht="31.5" thickBot="1" x14ac:dyDescent="0.4">
      <c r="A4" s="119">
        <f>IF(OR('Tabella Pesi'!M3=Engine!$G$48,'Tabella Pesi'!M3=Engine!$H$48,'Tabella Pesi'!M3=Engine!$J$48),1,0)</f>
        <v>0</v>
      </c>
      <c r="B4" s="154" t="str" cm="1">
        <f t="array" ref="B4">IFERROR(INDEX('Tabella Pesi'!$B$2:$B$16, SMALL(IF(1=$A$3:$A$17, ROW('Tabella Pesi'!$B$2:$B$16)-1,""), ROW()-2)),"")</f>
        <v>Sono individuate le informazioni, i dati e i sistemi critici per l’azienda affinché siano adeguatamente protetti.</v>
      </c>
      <c r="C4" s="164">
        <f>IF(B4="","",_xlfn.XLOOKUP(B4,'Val. Maturità'!$B$4:$B$18,'Val. Maturità'!$C$4:$C$18))</f>
        <v>0</v>
      </c>
      <c r="D4" s="176" cm="1">
        <f t="array" ref="D4">IF(B4="","",IF(INDEX('Tabella Pesi'!$A$1:$Q$16,_xlfn.XMATCH(B4,'Tabella Pesi'!$B$1:$B$16),COLUMN('Tabella Pesi'!$M$1))=Engine!G$48,Engine!G$49,IF(INDEX('Tabella Pesi'!$A$1:$Q$16,_xlfn.XMATCH(B4,'Tabella Pesi'!$B$1:$B$16),COLUMN('Tabella Pesi'!$M$1))=Engine!H$48,Engine!H$49,Engine!$J$49)))</f>
        <v>1</v>
      </c>
      <c r="E4" s="278">
        <f>IF(C4="","",IF(C4=Engine!$B$27,"N/A",IF(C4=Engine!$B$24,1,IF(C4=Engine!$B$25,0.5,0))))</f>
        <v>0</v>
      </c>
      <c r="F4" s="779"/>
      <c r="H4" s="20"/>
      <c r="I4" s="20"/>
      <c r="J4" s="20"/>
      <c r="K4" s="20"/>
      <c r="L4" s="20"/>
      <c r="M4" s="20"/>
      <c r="N4" s="20"/>
      <c r="O4" s="20"/>
      <c r="P4" s="20"/>
      <c r="Q4" s="20"/>
      <c r="R4" s="150"/>
      <c r="AC4"/>
      <c r="AD4"/>
      <c r="AE4"/>
      <c r="AF4"/>
      <c r="AG4"/>
      <c r="AH4"/>
      <c r="AI4"/>
      <c r="AJ4"/>
      <c r="AK4"/>
      <c r="AL4"/>
      <c r="AM4"/>
      <c r="AN4"/>
      <c r="AO4"/>
      <c r="AP4"/>
    </row>
    <row r="5" spans="1:42" ht="39" customHeight="1" thickBot="1" x14ac:dyDescent="0.4">
      <c r="A5" s="119">
        <f>IF(OR('Tabella Pesi'!M4=Engine!$G$48,'Tabella Pesi'!M4=Engine!$H$48,'Tabella Pesi'!M4=Engine!$J$48),1,0)</f>
        <v>1</v>
      </c>
      <c r="B5" s="154" t="str" cm="1">
        <f t="array" ref="B5">IFERROR(INDEX('Tabella Pesi'!$B$2:$B$16, SMALL(IF(1=$A$3:$A$17, ROW('Tabella Pesi'!$B$2:$B$16)-1,""), ROW()-2)),"")</f>
        <v>È stato nominato un referente che sia responsabile per il coordinamento delle attività di gestione e di protezione delle informazioni e dei sistemi informatici.</v>
      </c>
      <c r="C5" s="164">
        <f>IF(B5="","",_xlfn.XLOOKUP(B5,'Val. Maturità'!$B$4:$B$18,'Val. Maturità'!$C$4:$C$18))</f>
        <v>0</v>
      </c>
      <c r="D5" s="176" cm="1">
        <f t="array" ref="D5">IF(B5="","",IF(INDEX('Tabella Pesi'!$A$1:$Q$16,_xlfn.XMATCH(B5,'Tabella Pesi'!$B$1:$B$16),COLUMN('Tabella Pesi'!$M$1))=Engine!G$48,Engine!G$49,IF(INDEX('Tabella Pesi'!$A$1:$Q$16,_xlfn.XMATCH(B5,'Tabella Pesi'!$B$1:$B$16),COLUMN('Tabella Pesi'!$M$1))=Engine!H$48,Engine!H$49,Engine!$J$49)))</f>
        <v>1</v>
      </c>
      <c r="E5" s="278">
        <f>IF(C5="","",IF(C5=Engine!$B$27,"N/A",IF(C5=Engine!$B$24,1,IF(C5=Engine!$B$25,0.5,0))))</f>
        <v>0</v>
      </c>
      <c r="F5" s="779"/>
      <c r="H5" s="20"/>
      <c r="I5" s="720" t="s">
        <v>88</v>
      </c>
      <c r="J5" s="721"/>
      <c r="K5" s="721"/>
      <c r="L5" s="722"/>
      <c r="M5" s="255" t="e">
        <f>M3*'Val. Maturità'!Q5</f>
        <v>#VALUE!</v>
      </c>
      <c r="N5" s="20"/>
      <c r="O5"/>
      <c r="P5"/>
      <c r="Q5" s="20"/>
      <c r="R5" s="150"/>
      <c r="AC5"/>
      <c r="AD5"/>
      <c r="AE5"/>
      <c r="AF5"/>
      <c r="AG5"/>
      <c r="AH5"/>
      <c r="AI5"/>
      <c r="AJ5"/>
      <c r="AK5"/>
      <c r="AL5"/>
      <c r="AM5"/>
      <c r="AN5"/>
      <c r="AO5"/>
      <c r="AP5"/>
    </row>
    <row r="6" spans="1:42" ht="46.5" x14ac:dyDescent="0.35">
      <c r="A6" s="119">
        <f>IF(OR('Tabella Pesi'!M5=Engine!$G$48,'Tabella Pesi'!M5=Engine!$H$48,'Tabella Pesi'!M5=Engine!$J$48),1,0)</f>
        <v>1</v>
      </c>
      <c r="B6" s="154" t="str" cm="1">
        <f t="array" ref="B6">IFERROR(INDEX('Tabella Pesi'!$B$2:$B$16, SMALL(IF(1=$A$3:$A$17, ROW('Tabella Pesi'!$B$2:$B$16)-1,""), ROW()-2)),"")</f>
        <v>Sono identificate e rispettate le leggi e/o i regolamenti con rilevanza in tema di cybersecurity che risultino applicabili per l’azienda.</v>
      </c>
      <c r="C6" s="164">
        <f>IF(B6="","",_xlfn.XLOOKUP(B6,'Val. Maturità'!$B$4:$B$18,'Val. Maturità'!$C$4:$C$18))</f>
        <v>0</v>
      </c>
      <c r="D6" s="176" cm="1">
        <f t="array" ref="D6">IF(B6="","",IF(INDEX('Tabella Pesi'!$A$1:$Q$16,_xlfn.XMATCH(B6,'Tabella Pesi'!$B$1:$B$16),COLUMN('Tabella Pesi'!$M$1))=Engine!G$48,Engine!G$49,IF(INDEX('Tabella Pesi'!$A$1:$Q$16,_xlfn.XMATCH(B6,'Tabella Pesi'!$B$1:$B$16),COLUMN('Tabella Pesi'!$M$1))=Engine!H$48,Engine!H$49,Engine!$J$49)))</f>
        <v>1</v>
      </c>
      <c r="E6" s="278">
        <f>IF(C6="","",IF(C6=Engine!$B$27,"N/A",IF(C6=Engine!$B$24,1,IF(C6=Engine!$B$25,0.5,0))))</f>
        <v>0</v>
      </c>
      <c r="F6" s="779"/>
      <c r="R6" s="150"/>
      <c r="AC6"/>
      <c r="AD6"/>
      <c r="AE6"/>
      <c r="AF6"/>
      <c r="AG6"/>
      <c r="AH6"/>
      <c r="AI6"/>
      <c r="AJ6"/>
      <c r="AK6"/>
      <c r="AL6"/>
      <c r="AM6"/>
      <c r="AN6"/>
      <c r="AO6"/>
      <c r="AP6"/>
    </row>
    <row r="7" spans="1:42" ht="31" x14ac:dyDescent="0.35">
      <c r="A7" s="119">
        <f>IF(OR('Tabella Pesi'!M6=Engine!$G$48,'Tabella Pesi'!M6=Engine!$H$48,'Tabella Pesi'!M6=Engine!$J$48),1,0)</f>
        <v>1</v>
      </c>
      <c r="B7" s="154" t="str" cm="1">
        <f t="array" ref="B7">IFERROR(INDEX('Tabella Pesi'!$B$2:$B$16, SMALL(IF(1=$A$3:$A$17, ROW('Tabella Pesi'!$B$2:$B$16)-1,""), ROW()-2)),"")</f>
        <v>Le password sono diverse per ogni account, della complessità adeguata e viene valutato l’utilizzo dei sistemi di autenticazione più sicuri offerti dal provider del servizio (es. autenticazione a due fattori).</v>
      </c>
      <c r="C7" s="164">
        <f>IF(B7="","",_xlfn.XLOOKUP(B7,'Val. Maturità'!$B$4:$B$18,'Val. Maturità'!$C$4:$C$18))</f>
        <v>0</v>
      </c>
      <c r="D7" s="176" cm="1">
        <f t="array" ref="D7">IF(B7="","",IF(INDEX('Tabella Pesi'!$A$1:$Q$16,_xlfn.XMATCH(B7,'Tabella Pesi'!$B$1:$B$16),COLUMN('Tabella Pesi'!$M$1))=Engine!G$48,Engine!G$49,IF(INDEX('Tabella Pesi'!$A$1:$Q$16,_xlfn.XMATCH(B7,'Tabella Pesi'!$B$1:$B$16),COLUMN('Tabella Pesi'!$M$1))=Engine!H$48,Engine!H$49,Engine!$J$49)))</f>
        <v>1</v>
      </c>
      <c r="E7" s="278">
        <f>IF(C7="","",IF(C7=Engine!$B$27,"N/A",IF(C7=Engine!$B$24,1,IF(C7=Engine!$B$25,0.5,0))))</f>
        <v>0</v>
      </c>
      <c r="F7" s="779"/>
      <c r="R7" s="150"/>
      <c r="AC7"/>
      <c r="AD7"/>
      <c r="AE7"/>
      <c r="AF7"/>
      <c r="AG7"/>
      <c r="AH7"/>
      <c r="AI7"/>
      <c r="AJ7"/>
      <c r="AK7"/>
      <c r="AL7"/>
      <c r="AM7"/>
      <c r="AN7"/>
      <c r="AO7"/>
      <c r="AP7"/>
    </row>
    <row r="8" spans="1:42" ht="77.5" x14ac:dyDescent="0.35">
      <c r="A8" s="119">
        <f>IF(OR('Tabella Pesi'!M7=Engine!$G$48,'Tabella Pesi'!M7=Engine!$H$48,'Tabella Pesi'!M7=Engine!$J$48),1,0)</f>
        <v>0</v>
      </c>
      <c r="B8" s="154" t="str" cm="1">
        <f t="array" ref="B8">IFERROR(INDEX('Tabella Pesi'!$B$2:$B$16, SMALL(IF(1=$A$3:$A$17, ROW('Tabella Pesi'!$B$2:$B$16)-1,""), ROW()-2)),"")</f>
        <v>Il personale autorizzato all’accesso, remoto o locale, ai servizi informatici dispone di utenze personali non condivise con altri; l’accesso è opportunamente protetto; i vecchi account non più utilizzati sono disattivati.</v>
      </c>
      <c r="C8" s="164">
        <f>IF(B8="","",_xlfn.XLOOKUP(B8,'Val. Maturità'!$B$4:$B$18,'Val. Maturità'!$C$4:$C$18))</f>
        <v>0</v>
      </c>
      <c r="D8" s="176" cm="1">
        <f t="array" ref="D8">IF(B8="","",IF(INDEX('Tabella Pesi'!$A$1:$Q$16,_xlfn.XMATCH(B8,'Tabella Pesi'!$B$1:$B$16),COLUMN('Tabella Pesi'!$M$1))=Engine!G$48,Engine!G$49,IF(INDEX('Tabella Pesi'!$A$1:$Q$16,_xlfn.XMATCH(B8,'Tabella Pesi'!$B$1:$B$16),COLUMN('Tabella Pesi'!$M$1))=Engine!H$48,Engine!H$49,Engine!$J$49)))</f>
        <v>1</v>
      </c>
      <c r="E8" s="278">
        <f>IF(C8="","",IF(C8=Engine!$B$27,"N/A",IF(C8=Engine!$B$24,1,IF(C8=Engine!$B$25,0.5,0))))</f>
        <v>0</v>
      </c>
      <c r="F8" s="779"/>
      <c r="R8" s="150"/>
      <c r="AC8"/>
      <c r="AD8"/>
      <c r="AE8"/>
      <c r="AF8"/>
      <c r="AG8"/>
      <c r="AH8"/>
      <c r="AI8"/>
      <c r="AJ8"/>
      <c r="AK8"/>
      <c r="AL8"/>
      <c r="AM8"/>
      <c r="AN8"/>
      <c r="AO8"/>
      <c r="AP8"/>
    </row>
    <row r="9" spans="1:42" ht="46.5" x14ac:dyDescent="0.35">
      <c r="A9" s="119">
        <f>IF(OR('Tabella Pesi'!M8=Engine!$G$48,'Tabella Pesi'!M8=Engine!$H$48,'Tabella Pesi'!M8=Engine!$J$48),1,0)</f>
        <v>1</v>
      </c>
      <c r="B9" s="154" t="str" cm="1">
        <f t="array" ref="B9">IFERROR(INDEX('Tabella Pesi'!$B$2:$B$16, SMALL(IF(1=$A$3:$A$17, ROW('Tabella Pesi'!$B$2:$B$16)-1,""), ROW()-2)),"")</f>
        <v>Ogni utente può accedere solo alle informazioni e ai sistemi di cui necessita e/o di sua competenza.</v>
      </c>
      <c r="C9" s="164">
        <f>IF(B9="","",_xlfn.XLOOKUP(B9,'Val. Maturità'!$B$4:$B$18,'Val. Maturità'!$C$4:$C$18))</f>
        <v>0</v>
      </c>
      <c r="D9" s="176" cm="1">
        <f t="array" ref="D9">IF(B9="","",IF(INDEX('Tabella Pesi'!$A$1:$Q$16,_xlfn.XMATCH(B9,'Tabella Pesi'!$B$1:$B$16),COLUMN('Tabella Pesi'!$M$1))=Engine!G$48,Engine!G$49,IF(INDEX('Tabella Pesi'!$A$1:$Q$16,_xlfn.XMATCH(B9,'Tabella Pesi'!$B$1:$B$16),COLUMN('Tabella Pesi'!$M$1))=Engine!H$48,Engine!H$49,Engine!$J$49)))</f>
        <v>1</v>
      </c>
      <c r="E9" s="278">
        <f>IF(C9="","",IF(C9=Engine!$B$27,"N/A",IF(C9=Engine!$B$24,1,IF(C9=Engine!$B$25,0.5,0))))</f>
        <v>0</v>
      </c>
      <c r="F9" s="779"/>
      <c r="R9" s="150"/>
      <c r="AC9"/>
      <c r="AD9"/>
      <c r="AE9"/>
      <c r="AF9"/>
      <c r="AG9"/>
      <c r="AH9"/>
      <c r="AI9"/>
      <c r="AJ9"/>
      <c r="AK9"/>
      <c r="AL9"/>
      <c r="AM9"/>
      <c r="AN9"/>
      <c r="AO9"/>
      <c r="AP9"/>
    </row>
    <row r="10" spans="1:42" ht="46.5" x14ac:dyDescent="0.35">
      <c r="A10" s="119">
        <f>IF(OR('Tabella Pesi'!M9=Engine!$G$48,'Tabella Pesi'!M9=Engine!$H$48,'Tabella Pesi'!M9=Engine!$J$48),1,0)</f>
        <v>1</v>
      </c>
      <c r="B10" s="154" t="str" cm="1">
        <f t="array" ref="B10">IFERROR(INDEX('Tabella Pesi'!$B$2:$B$16, SMALL(IF(1=$A$3:$A$17, ROW('Tabella Pesi'!$B$2:$B$16)-1,""), ROW()-2)),"")</f>
        <v>Il personale è adeguatamente sensibilizzato e formato sui rischi di cybersecurity e sulle pratiche da adottare per l’impiego sicuro degli strumenti aziendali (es. riconoscere allegati e-mail, utilizzare solo software autorizzato,...). I vertici aziendali hanno cura di predisporre per tutto il personale aziendale la formazione necessaria a fornire almeno le nozioni basilari di sicurezza.</v>
      </c>
      <c r="C10" s="164">
        <f>IF(B10="","",_xlfn.XLOOKUP(B10,'Val. Maturità'!$B$4:$B$18,'Val. Maturità'!$C$4:$C$18))</f>
        <v>0</v>
      </c>
      <c r="D10" s="176" cm="1">
        <f t="array" ref="D10">IF(B10="","",IF(INDEX('Tabella Pesi'!$A$1:$Q$16,_xlfn.XMATCH(B10,'Tabella Pesi'!$B$1:$B$16),COLUMN('Tabella Pesi'!$M$1))=Engine!G$48,Engine!G$49,IF(INDEX('Tabella Pesi'!$A$1:$Q$16,_xlfn.XMATCH(B10,'Tabella Pesi'!$B$1:$B$16),COLUMN('Tabella Pesi'!$M$1))=Engine!H$48,Engine!H$49,Engine!$J$49)))</f>
        <v>1</v>
      </c>
      <c r="E10" s="278">
        <f>IF(C10="","",IF(C10=Engine!$B$27,"N/A",IF(C10=Engine!$B$24,1,IF(C10=Engine!$B$25,0.5,0))))</f>
        <v>0</v>
      </c>
      <c r="F10" s="779"/>
      <c r="R10" s="15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</row>
    <row r="11" spans="1:42" ht="31" x14ac:dyDescent="0.35">
      <c r="A11" s="119">
        <f>IF(OR('Tabella Pesi'!M10=Engine!$G$48,'Tabella Pesi'!M10=Engine!$H$48,'Tabella Pesi'!M10=Engine!$J$48),1,0)</f>
        <v>1</v>
      </c>
      <c r="B11" s="154" t="str" cm="1">
        <f t="array" ref="B11">IFERROR(INDEX('Tabella Pesi'!$B$2:$B$16, SMALL(IF(1=$A$3:$A$17, ROW('Tabella Pesi'!$B$2:$B$16)-1,""), ROW()-2)),"")</f>
        <v>La configurazione iniziale di tutti i sistemi e dispositivi è svolta da personale esperto, responsabile per la configurazione sicura degli stessi. Le credenziali di accesso di default sono sempre sostituite.</v>
      </c>
      <c r="C11" s="164">
        <f>IF(B11="","",_xlfn.XLOOKUP(B11,'Val. Maturità'!$B$4:$B$18,'Val. Maturità'!$C$4:$C$18))</f>
        <v>0</v>
      </c>
      <c r="D11" s="176" cm="1">
        <f t="array" ref="D11">IF(B11="","",IF(INDEX('Tabella Pesi'!$A$1:$Q$16,_xlfn.XMATCH(B11,'Tabella Pesi'!$B$1:$B$16),COLUMN('Tabella Pesi'!$M$1))=Engine!G$48,Engine!G$49,IF(INDEX('Tabella Pesi'!$A$1:$Q$16,_xlfn.XMATCH(B11,'Tabella Pesi'!$B$1:$B$16),COLUMN('Tabella Pesi'!$M$1))=Engine!H$48,Engine!H$49,Engine!$J$49)))</f>
        <v>1</v>
      </c>
      <c r="E11" s="278">
        <f>IF(C11="","",IF(C11=Engine!$B$27,"N/A",IF(C11=Engine!$B$24,1,IF(C11=Engine!$B$25,0.5,0))))</f>
        <v>0</v>
      </c>
      <c r="F11" s="779"/>
      <c r="R11" s="150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</row>
    <row r="12" spans="1:42" ht="46.5" x14ac:dyDescent="0.35">
      <c r="A12" s="119">
        <f>IF(OR('Tabella Pesi'!M11=Engine!$G$48,'Tabella Pesi'!M11=Engine!$H$48,'Tabella Pesi'!M11=Engine!$J$48),1,0)</f>
        <v>1</v>
      </c>
      <c r="B12" s="154" t="str" cm="1">
        <f t="array" ref="B12">IFERROR(INDEX('Tabella Pesi'!$B$2:$B$16, SMALL(IF(1=$A$3:$A$17, ROW('Tabella Pesi'!$B$2:$B$16)-1,""), ROW()-2)),"")</f>
        <v>Sono eseguiti periodicamente backup delle informazioni e dei dati critici per l’azienda (identificati al controllo 3). I backup sono conservati in modo sicuro e verificati periodicamente.</v>
      </c>
      <c r="C12" s="164">
        <f>IF(B12="","",_xlfn.XLOOKUP(B12,'Val. Maturità'!$B$4:$B$18,'Val. Maturità'!$C$4:$C$18))</f>
        <v>0</v>
      </c>
      <c r="D12" s="176" cm="1">
        <f t="array" ref="D12">IF(B12="","",IF(INDEX('Tabella Pesi'!$A$1:$Q$16,_xlfn.XMATCH(B12,'Tabella Pesi'!$B$1:$B$16),COLUMN('Tabella Pesi'!$M$1))=Engine!G$48,Engine!G$49,IF(INDEX('Tabella Pesi'!$A$1:$Q$16,_xlfn.XMATCH(B12,'Tabella Pesi'!$B$1:$B$16),COLUMN('Tabella Pesi'!$M$1))=Engine!H$48,Engine!H$49,Engine!$J$49)))</f>
        <v>1</v>
      </c>
      <c r="E12" s="278">
        <f>IF(C12="","",IF(C12=Engine!$B$27,"N/A",IF(C12=Engine!$B$24,1,IF(C12=Engine!$B$25,0.5,0))))</f>
        <v>0</v>
      </c>
      <c r="F12" s="779"/>
      <c r="R12" s="150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</row>
    <row r="13" spans="1:42" ht="46.5" x14ac:dyDescent="0.35">
      <c r="A13" s="119">
        <f>IF(OR('Tabella Pesi'!M12=Engine!$G$48,'Tabella Pesi'!M12=Engine!$H$48,'Tabella Pesi'!M12=Engine!$J$48),1,0)</f>
        <v>1</v>
      </c>
      <c r="B13" s="154" t="str" cm="1">
        <f t="array" ref="B13">IFERROR(INDEX('Tabella Pesi'!$B$2:$B$16, SMALL(IF(1=$A$3:$A$17, ROW('Tabella Pesi'!$B$2:$B$16)-1,""), ROW()-2)),"")</f>
        <v>Le reti e i sistemi sono protetti da accessi non autorizzati attraverso strumenti specifici (es: Firewall e altri dispositivi/software anti-intrusione).</v>
      </c>
      <c r="C13" s="164">
        <f>IF(B13="","",_xlfn.XLOOKUP(B13,'Val. Maturità'!$B$4:$B$18,'Val. Maturità'!$C$4:$C$18))</f>
        <v>0</v>
      </c>
      <c r="D13" s="176" cm="1">
        <f t="array" ref="D13">IF(B13="","",IF(INDEX('Tabella Pesi'!$A$1:$Q$16,_xlfn.XMATCH(B13,'Tabella Pesi'!$B$1:$B$16),COLUMN('Tabella Pesi'!$M$1))=Engine!G$48,Engine!G$49,IF(INDEX('Tabella Pesi'!$A$1:$Q$16,_xlfn.XMATCH(B13,'Tabella Pesi'!$B$1:$B$16),COLUMN('Tabella Pesi'!$M$1))=Engine!H$48,Engine!H$49,Engine!$J$49)))</f>
        <v>1</v>
      </c>
      <c r="E13" s="278">
        <f>IF(C13="","",IF(C13=Engine!$B$27,"N/A",IF(C13=Engine!$B$24,1,IF(C13=Engine!$B$25,0.5,0))))</f>
        <v>0</v>
      </c>
      <c r="F13" s="779"/>
      <c r="R13" s="150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</row>
    <row r="14" spans="1:42" x14ac:dyDescent="0.35">
      <c r="A14" s="119">
        <f>IF(OR('Tabella Pesi'!M13=Engine!$G$48,'Tabella Pesi'!M13=Engine!$H$48,'Tabella Pesi'!M13=Engine!$J$48),1,0)</f>
        <v>1</v>
      </c>
      <c r="B14" s="154" t="str" cm="1">
        <f t="array" ref="B14">IFERROR(INDEX('Tabella Pesi'!$B$2:$B$16, SMALL(IF(1=$A$3:$A$17, ROW('Tabella Pesi'!$B$2:$B$16)-1,""), ROW()-2)),"")</f>
        <v/>
      </c>
      <c r="C14" s="164" t="str">
        <f>IF(B14="","",_xlfn.XLOOKUP(B14,'Val. Maturità'!$B$4:$B$18,'Val. Maturità'!$C$4:$C$18))</f>
        <v/>
      </c>
      <c r="D14" s="176" t="str" cm="1">
        <f t="array" ref="D14">IF(B14="","",IF(INDEX('Tabella Pesi'!$A$1:$Q$16,_xlfn.XMATCH(B14,'Tabella Pesi'!$B$1:$B$16),COLUMN('Tabella Pesi'!$M$1))=Engine!G$48,Engine!G$49,IF(INDEX('Tabella Pesi'!$A$1:$Q$16,_xlfn.XMATCH(B14,'Tabella Pesi'!$B$1:$B$16),COLUMN('Tabella Pesi'!$M$1))=Engine!H$48,Engine!H$49,Engine!$J$49)))</f>
        <v/>
      </c>
      <c r="E14" s="278" t="str">
        <f>IF(C14="","",IF(C14=Engine!$B$27,"N/A",IF(C14=Engine!$B$24,1,IF(C14=Engine!$B$25,0.5,0))))</f>
        <v/>
      </c>
      <c r="F14" s="779"/>
      <c r="R14" s="150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</row>
    <row r="15" spans="1:42" x14ac:dyDescent="0.35">
      <c r="A15" s="119">
        <f>IF(OR('Tabella Pesi'!M14=Engine!$G$48,'Tabella Pesi'!M14=Engine!$H$48,'Tabella Pesi'!M14=Engine!$J$48),1,0)</f>
        <v>1</v>
      </c>
      <c r="B15" s="154" t="str" cm="1">
        <f t="array" ref="B15">IFERROR(INDEX('Tabella Pesi'!$B$2:$B$16, SMALL(IF(1=$A$3:$A$17, ROW('Tabella Pesi'!$B$2:$B$16)-1,""), ROW()-2)),"")</f>
        <v/>
      </c>
      <c r="C15" s="164" t="str">
        <f>IF(B15="","",_xlfn.XLOOKUP(B15,'Val. Maturità'!$B$4:$B$18,'Val. Maturità'!$C$4:$C$18))</f>
        <v/>
      </c>
      <c r="D15" s="176" t="str" cm="1">
        <f t="array" ref="D15">IF(B15="","",IF(INDEX('Tabella Pesi'!$A$1:$Q$16,_xlfn.XMATCH(B15,'Tabella Pesi'!$B$1:$B$16),COLUMN('Tabella Pesi'!$M$1))=Engine!G$48,Engine!G$49,IF(INDEX('Tabella Pesi'!$A$1:$Q$16,_xlfn.XMATCH(B15,'Tabella Pesi'!$B$1:$B$16),COLUMN('Tabella Pesi'!$M$1))=Engine!H$48,Engine!H$49,Engine!$J$49)))</f>
        <v/>
      </c>
      <c r="E15" s="278" t="str">
        <f>IF(C15="","",IF(C15=Engine!$B$27,"N/A",IF(C15=Engine!$B$24,1,IF(C15=Engine!$B$25,0.5,0))))</f>
        <v/>
      </c>
      <c r="F15" s="779"/>
      <c r="R15" s="150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</row>
    <row r="16" spans="1:42" x14ac:dyDescent="0.35">
      <c r="A16" s="119">
        <f>IF(OR('Tabella Pesi'!M15=Engine!$G$48,'Tabella Pesi'!M15=Engine!$H$48,'Tabella Pesi'!M15=Engine!$J$48),1,0)</f>
        <v>0</v>
      </c>
      <c r="B16" s="154" t="str" cm="1">
        <f t="array" ref="B16">IFERROR(INDEX('Tabella Pesi'!$B$2:$B$16, SMALL(IF(1=$A$3:$A$17, ROW('Tabella Pesi'!$B$2:$B$16)-1,""), ROW()-2)),"")</f>
        <v/>
      </c>
      <c r="C16" s="164" t="str">
        <f>IF(B16="","",_xlfn.XLOOKUP(B16,'Val. Maturità'!$B$4:$B$18,'Val. Maturità'!$C$4:$C$18))</f>
        <v/>
      </c>
      <c r="D16" s="176" t="str" cm="1">
        <f t="array" ref="D16">IF(B16="","",IF(INDEX('Tabella Pesi'!$A$1:$Q$16,_xlfn.XMATCH(B16,'Tabella Pesi'!$B$1:$B$16),COLUMN('Tabella Pesi'!$M$1))=Engine!G$48,Engine!G$49,IF(INDEX('Tabella Pesi'!$A$1:$Q$16,_xlfn.XMATCH(B16,'Tabella Pesi'!$B$1:$B$16),COLUMN('Tabella Pesi'!$M$1))=Engine!H$48,Engine!H$49,Engine!$J$49)))</f>
        <v/>
      </c>
      <c r="E16" s="278" t="str">
        <f>IF(C16="","",IF(C16=Engine!$B$27,"N/A",IF(C16=Engine!$B$24,1,IF(C16=Engine!$B$25,0.5,0))))</f>
        <v/>
      </c>
      <c r="F16" s="779"/>
      <c r="R16" s="150"/>
      <c r="AC16"/>
      <c r="AD16"/>
      <c r="AE16"/>
      <c r="AF16"/>
      <c r="AG16"/>
      <c r="AH16"/>
      <c r="AI16"/>
      <c r="AJ16"/>
      <c r="AK16"/>
      <c r="AL16" s="254"/>
      <c r="AM16"/>
      <c r="AN16"/>
      <c r="AO16"/>
      <c r="AP16"/>
    </row>
    <row r="17" spans="1:45" ht="16" thickBot="1" x14ac:dyDescent="0.4">
      <c r="A17" s="120">
        <f>IF(OR('Tabella Pesi'!M16=Engine!$G$48,'Tabella Pesi'!M16=Engine!$H$48,'Tabella Pesi'!M16=Engine!$J$48),1,0)</f>
        <v>0</v>
      </c>
      <c r="B17" s="155" t="str" cm="1">
        <f t="array" ref="B17">IFERROR(INDEX('Tabella Pesi'!$B$2:$B$16, SMALL(IF(1=$A$3:$A$17, ROW('Tabella Pesi'!$B$2:$B$16)-1,""), ROW()-2)),"")</f>
        <v/>
      </c>
      <c r="C17" s="165" t="str">
        <f>IF(B17="","",_xlfn.XLOOKUP(B17,'Val. Maturità'!$B$4:$B$18,'Val. Maturità'!$C$4:$C$18))</f>
        <v/>
      </c>
      <c r="D17" s="177" t="str" cm="1">
        <f t="array" ref="D17">IF(B17="","",IF(INDEX('Tabella Pesi'!$A$1:$Q$16,_xlfn.XMATCH(B17,'Tabella Pesi'!$B$1:$B$16),COLUMN('Tabella Pesi'!$M$1))=Engine!G$48,Engine!G$49,IF(INDEX('Tabella Pesi'!$A$1:$Q$16,_xlfn.XMATCH(B17,'Tabella Pesi'!$B$1:$B$16),COLUMN('Tabella Pesi'!$M$1))=Engine!H$48,Engine!H$49,Engine!$J$49)))</f>
        <v/>
      </c>
      <c r="E17" s="279" t="str">
        <f>IF(C17="","",IF(C17=Engine!$B$27,"N/A",IF(C17=Engine!$B$24,1,IF(C17=Engine!$B$25,0.5,0))))</f>
        <v/>
      </c>
      <c r="F17" s="780"/>
      <c r="R17" s="150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</row>
    <row r="18" spans="1:45" ht="16" thickBot="1" x14ac:dyDescent="0.4">
      <c r="A18" s="151"/>
      <c r="B18" s="42"/>
      <c r="C18" s="42"/>
      <c r="D18" s="42"/>
      <c r="E18" s="42"/>
      <c r="F18" s="42"/>
      <c r="G18" s="42"/>
      <c r="H18" s="42"/>
      <c r="I18" s="42"/>
      <c r="J18" s="42"/>
      <c r="K18" s="42"/>
      <c r="L18" s="42"/>
      <c r="M18" s="42"/>
      <c r="N18" s="42"/>
      <c r="O18" s="42"/>
      <c r="P18" s="42"/>
      <c r="Q18" s="42"/>
      <c r="R18" s="152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</row>
    <row r="19" spans="1:45" x14ac:dyDescent="0.35"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</row>
    <row r="20" spans="1:45" x14ac:dyDescent="0.35"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</row>
    <row r="21" spans="1:45" x14ac:dyDescent="0.35"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</row>
    <row r="22" spans="1:45" x14ac:dyDescent="0.35"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</row>
    <row r="23" spans="1:45" x14ac:dyDescent="0.35"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</row>
    <row r="24" spans="1:45" x14ac:dyDescent="0.35"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</row>
    <row r="25" spans="1:45" x14ac:dyDescent="0.35"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</row>
    <row r="26" spans="1:45" x14ac:dyDescent="0.35"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</row>
    <row r="27" spans="1:45" x14ac:dyDescent="0.35"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</row>
    <row r="28" spans="1:45" x14ac:dyDescent="0.35"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</row>
    <row r="29" spans="1:45" x14ac:dyDescent="0.35"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</row>
    <row r="30" spans="1:45" x14ac:dyDescent="0.35"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</row>
    <row r="31" spans="1:45" x14ac:dyDescent="0.35"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</row>
    <row r="32" spans="1:45" x14ac:dyDescent="0.35"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</row>
    <row r="33" spans="32:45" x14ac:dyDescent="0.35"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</row>
    <row r="34" spans="32:45" x14ac:dyDescent="0.35"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</row>
    <row r="35" spans="32:45" x14ac:dyDescent="0.35"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</row>
    <row r="36" spans="32:45" x14ac:dyDescent="0.35"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</row>
    <row r="37" spans="32:45" x14ac:dyDescent="0.35"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</row>
    <row r="38" spans="32:45" x14ac:dyDescent="0.35"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</row>
    <row r="39" spans="32:45" x14ac:dyDescent="0.35"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</row>
    <row r="40" spans="32:45" x14ac:dyDescent="0.35"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</row>
    <row r="41" spans="32:45" x14ac:dyDescent="0.35"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</row>
    <row r="42" spans="32:45" x14ac:dyDescent="0.35"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</row>
    <row r="43" spans="32:45" x14ac:dyDescent="0.35"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</row>
    <row r="44" spans="32:45" x14ac:dyDescent="0.35"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</row>
    <row r="45" spans="32:45" x14ac:dyDescent="0.35"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</row>
    <row r="46" spans="32:45" x14ac:dyDescent="0.35"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</row>
    <row r="47" spans="32:45" x14ac:dyDescent="0.35">
      <c r="AF47"/>
      <c r="AG47"/>
      <c r="AH47" s="716"/>
      <c r="AI47" s="716"/>
      <c r="AJ47" s="254"/>
      <c r="AK47"/>
      <c r="AL47"/>
      <c r="AM47"/>
      <c r="AN47"/>
      <c r="AO47"/>
      <c r="AP47"/>
      <c r="AQ47"/>
      <c r="AR47"/>
      <c r="AS47"/>
    </row>
    <row r="48" spans="32:45" x14ac:dyDescent="0.35"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</row>
    <row r="49" spans="32:45" x14ac:dyDescent="0.35"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</row>
    <row r="50" spans="32:45" x14ac:dyDescent="0.35"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</row>
  </sheetData>
  <sheetProtection algorithmName="SHA-512" hashValue="pT1Y6o4ioSkbh9nnO3SkyRw5jz7BVYgiMvCM88hHx+aFQGsVVUU7Sqc5HVvqCBIi8HDKuZQuFOlh5+rmFP2yFQ==" saltValue="zbXSfHm5bSjSCFKbK+oNEg==" spinCount="100000" sheet="1" objects="1" scenarios="1" selectLockedCells="1" selectUnlockedCells="1"/>
  <mergeCells count="6">
    <mergeCell ref="A1:R1"/>
    <mergeCell ref="AM2:AO2"/>
    <mergeCell ref="AH47:AI47"/>
    <mergeCell ref="F3:F17"/>
    <mergeCell ref="I5:L5"/>
    <mergeCell ref="I3:L3"/>
  </mergeCells>
  <conditionalFormatting sqref="AM16:AN16">
    <cfRule type="colorScale" priority="3">
      <colorScale>
        <cfvo type="num" val="0"/>
        <cfvo type="num" val="0.5"/>
        <cfvo type="num" val="1"/>
        <color rgb="FF00B050"/>
        <color rgb="FFFFEB84"/>
        <color theme="5"/>
      </colorScale>
    </cfRule>
  </conditionalFormatting>
  <dataValidations count="1">
    <dataValidation type="list" allowBlank="1" showInputMessage="1" showErrorMessage="1" sqref="P3" xr:uid="{2C31A9E6-33CB-43CA-860F-6623A9B4FF64}">
      <formula1>"0,1,2,3,4,5,6,7,8,9,10"</formula1>
    </dataValidation>
  </dataValidation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" id="{6966A4C3-1EA8-41CF-BDD9-9A12178EC534}">
            <xm:f>COUNTA(B3:B17)-COUNTIFS(B3:B17,"")&lt;&gt;'Tabella Pesi'!$M$17</xm:f>
            <x14:dxf>
              <fill>
                <patternFill>
                  <bgColor rgb="FFFF0000"/>
                </patternFill>
              </fill>
            </x14:dxf>
          </x14:cfRule>
          <xm:sqref>B2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0E2075-41B7-4BFB-B23A-0321EAB230F8}">
  <sheetPr codeName="Foglio16">
    <tabColor theme="5" tint="0.39997558519241921"/>
  </sheetPr>
  <dimension ref="A1:AS50"/>
  <sheetViews>
    <sheetView showGridLines="0" topLeftCell="B1" zoomScale="60" zoomScaleNormal="60" workbookViewId="0">
      <selection activeCell="B1" sqref="A1:XFD1048576"/>
    </sheetView>
  </sheetViews>
  <sheetFormatPr defaultColWidth="0" defaultRowHeight="15.5" zeroHeight="1" outlineLevelCol="1" x14ac:dyDescent="0.35"/>
  <cols>
    <col min="1" max="1" width="4.1796875" style="18" hidden="1" customWidth="1" outlineLevel="1"/>
    <col min="2" max="2" width="75.08984375" style="18" customWidth="1" collapsed="1"/>
    <col min="3" max="3" width="8.81640625" style="18" customWidth="1"/>
    <col min="4" max="4" width="6.81640625" style="18" hidden="1" customWidth="1" outlineLevel="1"/>
    <col min="5" max="5" width="8.81640625" style="18" hidden="1" customWidth="1" outlineLevel="1"/>
    <col min="6" max="6" width="8.81640625" style="18" customWidth="1" collapsed="1"/>
    <col min="7" max="31" width="8.81640625" style="18" customWidth="1"/>
    <col min="32" max="45" width="8.81640625" customWidth="1"/>
    <col min="46" max="16384" width="8.81640625" hidden="1"/>
  </cols>
  <sheetData>
    <row r="1" spans="1:41" ht="33.5" customHeight="1" thickBot="1" x14ac:dyDescent="0.4">
      <c r="A1" s="781" t="s">
        <v>43</v>
      </c>
      <c r="B1" s="782"/>
      <c r="C1" s="782"/>
      <c r="D1" s="782"/>
      <c r="E1" s="782"/>
      <c r="F1" s="782"/>
      <c r="G1" s="782"/>
      <c r="H1" s="782"/>
      <c r="I1" s="782"/>
      <c r="J1" s="782"/>
      <c r="K1" s="782"/>
      <c r="L1" s="782"/>
      <c r="M1" s="782"/>
      <c r="N1" s="782"/>
      <c r="O1" s="782"/>
      <c r="P1" s="782"/>
      <c r="Q1" s="782"/>
      <c r="R1" s="783"/>
      <c r="AC1"/>
      <c r="AD1"/>
      <c r="AE1"/>
    </row>
    <row r="2" spans="1:41" ht="16" thickBot="1" x14ac:dyDescent="0.4">
      <c r="A2" s="141"/>
      <c r="B2"/>
      <c r="C2"/>
      <c r="D2"/>
      <c r="R2" s="135"/>
      <c r="AC2"/>
      <c r="AD2"/>
      <c r="AE2"/>
      <c r="AM2" s="716"/>
      <c r="AN2" s="716"/>
      <c r="AO2" s="716"/>
    </row>
    <row r="3" spans="1:41" ht="31.5" customHeight="1" thickBot="1" x14ac:dyDescent="0.4">
      <c r="A3" s="118">
        <f>IF(OR('Tabella Pesi'!N2=Engine!$G$48,'Tabella Pesi'!N2=Engine!$H$48,'Tabella Pesi'!N2=Engine!$J$48),1,0)</f>
        <v>1</v>
      </c>
      <c r="B3" s="131" t="str" cm="1">
        <f t="array" ref="B3">IFERROR(INDEX('Tabella Pesi'!$B$2:$B$16, SMALL(IF(1=$A$3:$A$17, ROW('Tabella Pesi'!$B$2:$B$16)-1,""), ROW()-2)),"")</f>
        <v>Esiste ed è mantenuto aggiornato un inventario dei sistemi, dispositivi, software, servizi e applicazioni informatiche in uso all’interno del perimetro aziendale.</v>
      </c>
      <c r="C3" s="163">
        <f>IF(B3="","",_xlfn.XLOOKUP(B3,'Val. Maturità'!$B$4:$B$18,'Val. Maturità'!$C$4:$C$18))</f>
        <v>0</v>
      </c>
      <c r="D3" s="175" cm="1">
        <f t="array" ref="D3">IF(B3="","",IF(INDEX('Tabella Pesi'!$A$1:$Q$16,_xlfn.XMATCH(B3,'Tabella Pesi'!$B$1:$B$16),COLUMN('Tabella Pesi'!$N$1))=Engine!G$48,Engine!G$49,IF(INDEX('Tabella Pesi'!$A$1:$Q$16,_xlfn.XMATCH(B3,'Tabella Pesi'!$B$1:$B$16),COLUMN('Tabella Pesi'!$N$1))=Engine!H$48,Engine!H$49,Engine!$J$49)))</f>
        <v>1</v>
      </c>
      <c r="E3" s="277">
        <f>IF(C3="","",IF(C3=Engine!$B$27,"N/A",IF(C3=Engine!$B$24,1,IF(C3=Engine!$B$25,0.5,0))))</f>
        <v>0</v>
      </c>
      <c r="F3" s="784" cm="1">
        <f t="array" ref="F3">(SUMPRODUCT(--(E3:E17&lt;&gt;"N/A"),E3:E17,D3:D17)/SUMIF(E3:E17,"&lt;&gt;N/A",D3:D17))*10</f>
        <v>0</v>
      </c>
      <c r="H3" s="20"/>
      <c r="I3" s="723" t="s">
        <v>296</v>
      </c>
      <c r="J3" s="724"/>
      <c r="K3" s="724"/>
      <c r="L3" s="725"/>
      <c r="M3" s="115" t="e">
        <f>Engine!$H$58+((Engine!$D$57-Engine!$H$58)/(1+Engine!$D$58*EXP(-Engine!$H$57*(F3-Engine!$F$57)))^(1/Engine!$F$58))</f>
        <v>#VALUE!</v>
      </c>
      <c r="N3"/>
      <c r="O3"/>
      <c r="P3"/>
      <c r="Q3" s="20"/>
      <c r="R3" s="135"/>
      <c r="AC3"/>
      <c r="AD3"/>
      <c r="AE3"/>
    </row>
    <row r="4" spans="1:41" ht="31.5" thickBot="1" x14ac:dyDescent="0.4">
      <c r="A4" s="119">
        <f>IF(OR('Tabella Pesi'!N3=Engine!$G$48,'Tabella Pesi'!N3=Engine!$H$48,'Tabella Pesi'!N3=Engine!$J$48),1,0)</f>
        <v>0</v>
      </c>
      <c r="B4" s="132" t="str" cm="1">
        <f t="array" ref="B4">IFERROR(INDEX('Tabella Pesi'!$B$2:$B$16, SMALL(IF(1=$A$3:$A$17, ROW('Tabella Pesi'!$B$2:$B$16)-1,""), ROW()-2)),"")</f>
        <v>Sono individuate le informazioni, i dati e i sistemi critici per l’azienda affinché siano adeguatamente protetti.</v>
      </c>
      <c r="C4" s="164">
        <f>IF(B4="","",_xlfn.XLOOKUP(B4,'Val. Maturità'!$B$4:$B$18,'Val. Maturità'!$C$4:$C$18))</f>
        <v>0</v>
      </c>
      <c r="D4" s="176" cm="1">
        <f t="array" ref="D4">IF(B4="","",IF(INDEX('Tabella Pesi'!$A$1:$Q$16,_xlfn.XMATCH(B4,'Tabella Pesi'!$B$1:$B$16),COLUMN('Tabella Pesi'!$N$1))=Engine!G$48,Engine!G$49,IF(INDEX('Tabella Pesi'!$A$1:$Q$16,_xlfn.XMATCH(B4,'Tabella Pesi'!$B$1:$B$16),COLUMN('Tabella Pesi'!$N$1))=Engine!H$48,Engine!H$49,Engine!$J$49)))</f>
        <v>1</v>
      </c>
      <c r="E4" s="278">
        <f>IF(C4="","",IF(C4=Engine!$B$27,"N/A",IF(C4=Engine!$B$24,1,IF(C4=Engine!$B$25,0.5,0))))</f>
        <v>0</v>
      </c>
      <c r="F4" s="785"/>
      <c r="H4" s="20"/>
      <c r="I4" s="20"/>
      <c r="J4" s="20"/>
      <c r="K4" s="20"/>
      <c r="L4" s="20"/>
      <c r="M4" s="20"/>
      <c r="N4" s="20"/>
      <c r="O4" s="20"/>
      <c r="P4" s="20"/>
      <c r="Q4" s="20"/>
      <c r="R4" s="135"/>
      <c r="AC4"/>
      <c r="AD4"/>
      <c r="AE4"/>
    </row>
    <row r="5" spans="1:41" ht="39" customHeight="1" thickBot="1" x14ac:dyDescent="0.4">
      <c r="A5" s="119">
        <f>IF(OR('Tabella Pesi'!N4=Engine!$G$48,'Tabella Pesi'!N4=Engine!$H$48,'Tabella Pesi'!N4=Engine!$J$48),1,0)</f>
        <v>1</v>
      </c>
      <c r="B5" s="132" t="str" cm="1">
        <f t="array" ref="B5">IFERROR(INDEX('Tabella Pesi'!$B$2:$B$16, SMALL(IF(1=$A$3:$A$17, ROW('Tabella Pesi'!$B$2:$B$16)-1,""), ROW()-2)),"")</f>
        <v>È stato nominato un referente che sia responsabile per il coordinamento delle attività di gestione e di protezione delle informazioni e dei sistemi informatici.</v>
      </c>
      <c r="C5" s="164">
        <f>IF(B5="","",_xlfn.XLOOKUP(B5,'Val. Maturità'!$B$4:$B$18,'Val. Maturità'!$C$4:$C$18))</f>
        <v>0</v>
      </c>
      <c r="D5" s="176" cm="1">
        <f t="array" ref="D5">IF(B5="","",IF(INDEX('Tabella Pesi'!$A$1:$Q$16,_xlfn.XMATCH(B5,'Tabella Pesi'!$B$1:$B$16),COLUMN('Tabella Pesi'!$N$1))=Engine!G$48,Engine!G$49,IF(INDEX('Tabella Pesi'!$A$1:$Q$16,_xlfn.XMATCH(B5,'Tabella Pesi'!$B$1:$B$16),COLUMN('Tabella Pesi'!$N$1))=Engine!H$48,Engine!H$49,Engine!$J$49)))</f>
        <v>1</v>
      </c>
      <c r="E5" s="278">
        <f>IF(C5="","",IF(C5=Engine!$B$27,"N/A",IF(C5=Engine!$B$24,1,IF(C5=Engine!$B$25,0.5,0))))</f>
        <v>0</v>
      </c>
      <c r="F5" s="785"/>
      <c r="H5" s="20"/>
      <c r="I5" s="720" t="s">
        <v>88</v>
      </c>
      <c r="J5" s="721"/>
      <c r="K5" s="721"/>
      <c r="L5" s="722"/>
      <c r="M5" s="255" t="e">
        <f>M3*'Val. Maturità'!Q5</f>
        <v>#VALUE!</v>
      </c>
      <c r="N5" s="20"/>
      <c r="O5"/>
      <c r="P5"/>
      <c r="Q5"/>
      <c r="R5" s="135"/>
      <c r="AC5"/>
      <c r="AD5"/>
      <c r="AE5"/>
    </row>
    <row r="6" spans="1:41" ht="46.5" x14ac:dyDescent="0.35">
      <c r="A6" s="119">
        <f>IF(OR('Tabella Pesi'!N5=Engine!$G$48,'Tabella Pesi'!N5=Engine!$H$48,'Tabella Pesi'!N5=Engine!$J$48),1,0)</f>
        <v>1</v>
      </c>
      <c r="B6" s="132" t="str" cm="1">
        <f t="array" ref="B6">IFERROR(INDEX('Tabella Pesi'!$B$2:$B$16, SMALL(IF(1=$A$3:$A$17, ROW('Tabella Pesi'!$B$2:$B$16)-1,""), ROW()-2)),"")</f>
        <v>Sono identificate e rispettate le leggi e/o i regolamenti con rilevanza in tema di cybersecurity che risultino applicabili per l’azienda.</v>
      </c>
      <c r="C6" s="164">
        <f>IF(B6="","",_xlfn.XLOOKUP(B6,'Val. Maturità'!$B$4:$B$18,'Val. Maturità'!$C$4:$C$18))</f>
        <v>0</v>
      </c>
      <c r="D6" s="176" cm="1">
        <f t="array" ref="D6">IF(B6="","",IF(INDEX('Tabella Pesi'!$A$1:$Q$16,_xlfn.XMATCH(B6,'Tabella Pesi'!$B$1:$B$16),COLUMN('Tabella Pesi'!$N$1))=Engine!G$48,Engine!G$49,IF(INDEX('Tabella Pesi'!$A$1:$Q$16,_xlfn.XMATCH(B6,'Tabella Pesi'!$B$1:$B$16),COLUMN('Tabella Pesi'!$N$1))=Engine!H$48,Engine!H$49,Engine!$J$49)))</f>
        <v>1</v>
      </c>
      <c r="E6" s="278">
        <f>IF(C6="","",IF(C6=Engine!$B$27,"N/A",IF(C6=Engine!$B$24,1,IF(C6=Engine!$B$25,0.5,0))))</f>
        <v>0</v>
      </c>
      <c r="F6" s="785"/>
      <c r="R6" s="135"/>
      <c r="AC6"/>
      <c r="AD6"/>
      <c r="AE6"/>
    </row>
    <row r="7" spans="1:41" ht="31" x14ac:dyDescent="0.35">
      <c r="A7" s="119">
        <f>IF(OR('Tabella Pesi'!N6=Engine!$G$48,'Tabella Pesi'!N6=Engine!$H$48,'Tabella Pesi'!N6=Engine!$J$48),1,0)</f>
        <v>1</v>
      </c>
      <c r="B7" s="132" t="str" cm="1">
        <f t="array" ref="B7">IFERROR(INDEX('Tabella Pesi'!$B$2:$B$16, SMALL(IF(1=$A$3:$A$17, ROW('Tabella Pesi'!$B$2:$B$16)-1,""), ROW()-2)),"")</f>
        <v>Le password sono diverse per ogni account, della complessità adeguata e viene valutato l’utilizzo dei sistemi di autenticazione più sicuri offerti dal provider del servizio (es. autenticazione a due fattori).</v>
      </c>
      <c r="C7" s="164">
        <f>IF(B7="","",_xlfn.XLOOKUP(B7,'Val. Maturità'!$B$4:$B$18,'Val. Maturità'!$C$4:$C$18))</f>
        <v>0</v>
      </c>
      <c r="D7" s="176" cm="1">
        <f t="array" ref="D7">IF(B7="","",IF(INDEX('Tabella Pesi'!$A$1:$Q$16,_xlfn.XMATCH(B7,'Tabella Pesi'!$B$1:$B$16),COLUMN('Tabella Pesi'!$N$1))=Engine!G$48,Engine!G$49,IF(INDEX('Tabella Pesi'!$A$1:$Q$16,_xlfn.XMATCH(B7,'Tabella Pesi'!$B$1:$B$16),COLUMN('Tabella Pesi'!$N$1))=Engine!H$48,Engine!H$49,Engine!$J$49)))</f>
        <v>1</v>
      </c>
      <c r="E7" s="278">
        <f>IF(C7="","",IF(C7=Engine!$B$27,"N/A",IF(C7=Engine!$B$24,1,IF(C7=Engine!$B$25,0.5,0))))</f>
        <v>0</v>
      </c>
      <c r="F7" s="785"/>
      <c r="R7" s="135"/>
      <c r="AC7"/>
      <c r="AD7"/>
      <c r="AE7"/>
    </row>
    <row r="8" spans="1:41" ht="77.5" x14ac:dyDescent="0.35">
      <c r="A8" s="119">
        <f>IF(OR('Tabella Pesi'!N7=Engine!$G$48,'Tabella Pesi'!N7=Engine!$H$48,'Tabella Pesi'!N7=Engine!$J$48),1,0)</f>
        <v>0</v>
      </c>
      <c r="B8" s="132" t="str" cm="1">
        <f t="array" ref="B8">IFERROR(INDEX('Tabella Pesi'!$B$2:$B$16, SMALL(IF(1=$A$3:$A$17, ROW('Tabella Pesi'!$B$2:$B$16)-1,""), ROW()-2)),"")</f>
        <v>Il personale autorizzato all’accesso, remoto o locale, ai servizi informatici dispone di utenze personali non condivise con altri; l’accesso è opportunamente protetto; i vecchi account non più utilizzati sono disattivati.</v>
      </c>
      <c r="C8" s="164">
        <f>IF(B8="","",_xlfn.XLOOKUP(B8,'Val. Maturità'!$B$4:$B$18,'Val. Maturità'!$C$4:$C$18))</f>
        <v>0</v>
      </c>
      <c r="D8" s="176" cm="1">
        <f t="array" ref="D8">IF(B8="","",IF(INDEX('Tabella Pesi'!$A$1:$Q$16,_xlfn.XMATCH(B8,'Tabella Pesi'!$B$1:$B$16),COLUMN('Tabella Pesi'!$N$1))=Engine!G$48,Engine!G$49,IF(INDEX('Tabella Pesi'!$A$1:$Q$16,_xlfn.XMATCH(B8,'Tabella Pesi'!$B$1:$B$16),COLUMN('Tabella Pesi'!$N$1))=Engine!H$48,Engine!H$49,Engine!$J$49)))</f>
        <v>1</v>
      </c>
      <c r="E8" s="278">
        <f>IF(C8="","",IF(C8=Engine!$B$27,"N/A",IF(C8=Engine!$B$24,1,IF(C8=Engine!$B$25,0.5,0))))</f>
        <v>0</v>
      </c>
      <c r="F8" s="785"/>
      <c r="R8" s="135"/>
      <c r="AC8"/>
      <c r="AD8"/>
      <c r="AE8"/>
    </row>
    <row r="9" spans="1:41" ht="46.5" x14ac:dyDescent="0.35">
      <c r="A9" s="119">
        <f>IF(OR('Tabella Pesi'!N8=Engine!$G$48,'Tabella Pesi'!N8=Engine!$H$48,'Tabella Pesi'!N8=Engine!$J$48),1,0)</f>
        <v>1</v>
      </c>
      <c r="B9" s="132" t="str" cm="1">
        <f t="array" ref="B9">IFERROR(INDEX('Tabella Pesi'!$B$2:$B$16, SMALL(IF(1=$A$3:$A$17, ROW('Tabella Pesi'!$B$2:$B$16)-1,""), ROW()-2)),"")</f>
        <v>Ogni utente può accedere solo alle informazioni e ai sistemi di cui necessita e/o di sua competenza.</v>
      </c>
      <c r="C9" s="164">
        <f>IF(B9="","",_xlfn.XLOOKUP(B9,'Val. Maturità'!$B$4:$B$18,'Val. Maturità'!$C$4:$C$18))</f>
        <v>0</v>
      </c>
      <c r="D9" s="176" cm="1">
        <f t="array" ref="D9">IF(B9="","",IF(INDEX('Tabella Pesi'!$A$1:$Q$16,_xlfn.XMATCH(B9,'Tabella Pesi'!$B$1:$B$16),COLUMN('Tabella Pesi'!$N$1))=Engine!G$48,Engine!G$49,IF(INDEX('Tabella Pesi'!$A$1:$Q$16,_xlfn.XMATCH(B9,'Tabella Pesi'!$B$1:$B$16),COLUMN('Tabella Pesi'!$N$1))=Engine!H$48,Engine!H$49,Engine!$J$49)))</f>
        <v>1</v>
      </c>
      <c r="E9" s="278">
        <f>IF(C9="","",IF(C9=Engine!$B$27,"N/A",IF(C9=Engine!$B$24,1,IF(C9=Engine!$B$25,0.5,0))))</f>
        <v>0</v>
      </c>
      <c r="F9" s="785"/>
      <c r="R9" s="135"/>
      <c r="AC9"/>
      <c r="AD9"/>
      <c r="AE9"/>
    </row>
    <row r="10" spans="1:41" ht="46.5" x14ac:dyDescent="0.35">
      <c r="A10" s="119">
        <f>IF(OR('Tabella Pesi'!N9=Engine!$G$48,'Tabella Pesi'!N9=Engine!$H$48,'Tabella Pesi'!N9=Engine!$J$48),1,0)</f>
        <v>1</v>
      </c>
      <c r="B10" s="132" t="str" cm="1">
        <f t="array" ref="B10">IFERROR(INDEX('Tabella Pesi'!$B$2:$B$16, SMALL(IF(1=$A$3:$A$17, ROW('Tabella Pesi'!$B$2:$B$16)-1,""), ROW()-2)),"")</f>
        <v>Il personale è adeguatamente sensibilizzato e formato sui rischi di cybersecurity e sulle pratiche da adottare per l’impiego sicuro degli strumenti aziendali (es. riconoscere allegati e-mail, utilizzare solo software autorizzato,...). I vertici aziendali hanno cura di predisporre per tutto il personale aziendale la formazione necessaria a fornire almeno le nozioni basilari di sicurezza.</v>
      </c>
      <c r="C10" s="164">
        <f>IF(B10="","",_xlfn.XLOOKUP(B10,'Val. Maturità'!$B$4:$B$18,'Val. Maturità'!$C$4:$C$18))</f>
        <v>0</v>
      </c>
      <c r="D10" s="176" cm="1">
        <f t="array" ref="D10">IF(B10="","",IF(INDEX('Tabella Pesi'!$A$1:$Q$16,_xlfn.XMATCH(B10,'Tabella Pesi'!$B$1:$B$16),COLUMN('Tabella Pesi'!$N$1))=Engine!G$48,Engine!G$49,IF(INDEX('Tabella Pesi'!$A$1:$Q$16,_xlfn.XMATCH(B10,'Tabella Pesi'!$B$1:$B$16),COLUMN('Tabella Pesi'!$N$1))=Engine!H$48,Engine!H$49,Engine!$J$49)))</f>
        <v>1</v>
      </c>
      <c r="E10" s="278">
        <f>IF(C10="","",IF(C10=Engine!$B$27,"N/A",IF(C10=Engine!$B$24,1,IF(C10=Engine!$B$25,0.5,0))))</f>
        <v>0</v>
      </c>
      <c r="F10" s="785"/>
      <c r="R10" s="135"/>
      <c r="AC10"/>
      <c r="AD10"/>
      <c r="AE10"/>
    </row>
    <row r="11" spans="1:41" ht="31" x14ac:dyDescent="0.35">
      <c r="A11" s="119">
        <f>IF(OR('Tabella Pesi'!N10=Engine!$G$48,'Tabella Pesi'!N10=Engine!$H$48,'Tabella Pesi'!N10=Engine!$J$48),1,0)</f>
        <v>1</v>
      </c>
      <c r="B11" s="132" t="str" cm="1">
        <f t="array" ref="B11">IFERROR(INDEX('Tabella Pesi'!$B$2:$B$16, SMALL(IF(1=$A$3:$A$17, ROW('Tabella Pesi'!$B$2:$B$16)-1,""), ROW()-2)),"")</f>
        <v>La configurazione iniziale di tutti i sistemi e dispositivi è svolta da personale esperto, responsabile per la configurazione sicura degli stessi. Le credenziali di accesso di default sono sempre sostituite.</v>
      </c>
      <c r="C11" s="164">
        <f>IF(B11="","",_xlfn.XLOOKUP(B11,'Val. Maturità'!$B$4:$B$18,'Val. Maturità'!$C$4:$C$18))</f>
        <v>0</v>
      </c>
      <c r="D11" s="176" cm="1">
        <f t="array" ref="D11">IF(B11="","",IF(INDEX('Tabella Pesi'!$A$1:$Q$16,_xlfn.XMATCH(B11,'Tabella Pesi'!$B$1:$B$16),COLUMN('Tabella Pesi'!$N$1))=Engine!G$48,Engine!G$49,IF(INDEX('Tabella Pesi'!$A$1:$Q$16,_xlfn.XMATCH(B11,'Tabella Pesi'!$B$1:$B$16),COLUMN('Tabella Pesi'!$N$1))=Engine!H$48,Engine!H$49,Engine!$J$49)))</f>
        <v>1</v>
      </c>
      <c r="E11" s="278">
        <f>IF(C11="","",IF(C11=Engine!$B$27,"N/A",IF(C11=Engine!$B$24,1,IF(C11=Engine!$B$25,0.5,0))))</f>
        <v>0</v>
      </c>
      <c r="F11" s="785"/>
      <c r="R11" s="135"/>
      <c r="AC11"/>
      <c r="AD11"/>
      <c r="AE11"/>
    </row>
    <row r="12" spans="1:41" x14ac:dyDescent="0.35">
      <c r="A12" s="119">
        <f>IF(OR('Tabella Pesi'!N11=Engine!$G$48,'Tabella Pesi'!N11=Engine!$H$48,'Tabella Pesi'!N11=Engine!$J$48),1,0)</f>
        <v>1</v>
      </c>
      <c r="B12" s="132" t="str" cm="1">
        <f t="array" ref="B12">IFERROR(INDEX('Tabella Pesi'!$B$2:$B$16, SMALL(IF(1=$A$3:$A$17, ROW('Tabella Pesi'!$B$2:$B$16)-1,""), ROW()-2)),"")</f>
        <v>In caso di incidente (es. venga rilevato un attacco o un malware) vengono informati i responsabili della sicurezza e i sistemi vengono messi in sicurezza da personale esperto.</v>
      </c>
      <c r="C12" s="164">
        <f>IF(B12="","",_xlfn.XLOOKUP(B12,'Val. Maturità'!$B$4:$B$18,'Val. Maturità'!$C$4:$C$18))</f>
        <v>0</v>
      </c>
      <c r="D12" s="176" cm="1">
        <f t="array" ref="D12">IF(B12="","",IF(INDEX('Tabella Pesi'!$A$1:$Q$16,_xlfn.XMATCH(B12,'Tabella Pesi'!$B$1:$B$16),COLUMN('Tabella Pesi'!$N$1))=Engine!G$48,Engine!G$49,IF(INDEX('Tabella Pesi'!$A$1:$Q$16,_xlfn.XMATCH(B12,'Tabella Pesi'!$B$1:$B$16),COLUMN('Tabella Pesi'!$N$1))=Engine!H$48,Engine!H$49,Engine!$J$49)))</f>
        <v>1</v>
      </c>
      <c r="E12" s="278">
        <f>IF(C12="","",IF(C12=Engine!$B$27,"N/A",IF(C12=Engine!$B$24,1,IF(C12=Engine!$B$25,0.5,0))))</f>
        <v>0</v>
      </c>
      <c r="F12" s="785"/>
      <c r="R12" s="135"/>
      <c r="AC12"/>
      <c r="AD12"/>
      <c r="AE12"/>
    </row>
    <row r="13" spans="1:41" x14ac:dyDescent="0.35">
      <c r="A13" s="119">
        <f>IF(OR('Tabella Pesi'!N12=Engine!$G$48,'Tabella Pesi'!N12=Engine!$H$48,'Tabella Pesi'!N12=Engine!$J$48),1,0)</f>
        <v>1</v>
      </c>
      <c r="B13" s="132" t="str" cm="1">
        <f t="array" ref="B13">IFERROR(INDEX('Tabella Pesi'!$B$2:$B$16, SMALL(IF(1=$A$3:$A$17, ROW('Tabella Pesi'!$B$2:$B$16)-1,""), ROW()-2)),"")</f>
        <v/>
      </c>
      <c r="C13" s="164" t="str">
        <f>IF(B13="","",_xlfn.XLOOKUP(B13,'Val. Maturità'!$B$4:$B$18,'Val. Maturità'!$C$4:$C$18))</f>
        <v/>
      </c>
      <c r="D13" s="176" t="str" cm="1">
        <f t="array" ref="D13">IF(B13="","",IF(INDEX('Tabella Pesi'!$A$1:$Q$16,_xlfn.XMATCH(B13,'Tabella Pesi'!$B$1:$B$16),COLUMN('Tabella Pesi'!$N$1))=Engine!G$48,Engine!G$49,IF(INDEX('Tabella Pesi'!$A$1:$Q$16,_xlfn.XMATCH(B13,'Tabella Pesi'!$B$1:$B$16),COLUMN('Tabella Pesi'!$N$1))=Engine!H$48,Engine!H$49,Engine!$J$49)))</f>
        <v/>
      </c>
      <c r="E13" s="278" t="str">
        <f>IF(C13="","",IF(C13=Engine!$B$27,"N/A",IF(C13=Engine!$B$24,1,IF(C13=Engine!$B$25,0.5,0))))</f>
        <v/>
      </c>
      <c r="F13" s="785"/>
      <c r="R13" s="135"/>
      <c r="AC13"/>
      <c r="AD13"/>
      <c r="AE13"/>
    </row>
    <row r="14" spans="1:41" x14ac:dyDescent="0.35">
      <c r="A14" s="119">
        <f>IF(OR('Tabella Pesi'!N13=Engine!$G$48,'Tabella Pesi'!N13=Engine!$H$48,'Tabella Pesi'!N13=Engine!$J$48),1,0)</f>
        <v>0</v>
      </c>
      <c r="B14" s="132" t="str" cm="1">
        <f t="array" ref="B14">IFERROR(INDEX('Tabella Pesi'!$B$2:$B$16, SMALL(IF(1=$A$3:$A$17, ROW('Tabella Pesi'!$B$2:$B$16)-1,""), ROW()-2)),"")</f>
        <v/>
      </c>
      <c r="C14" s="164" t="str">
        <f>IF(B14="","",_xlfn.XLOOKUP(B14,'Val. Maturità'!$B$4:$B$18,'Val. Maturità'!$C$4:$C$18))</f>
        <v/>
      </c>
      <c r="D14" s="176" t="str" cm="1">
        <f t="array" ref="D14">IF(B14="","",IF(INDEX('Tabella Pesi'!$A$1:$Q$16,_xlfn.XMATCH(B14,'Tabella Pesi'!$B$1:$B$16),COLUMN('Tabella Pesi'!$N$1))=Engine!G$48,Engine!G$49,IF(INDEX('Tabella Pesi'!$A$1:$Q$16,_xlfn.XMATCH(B14,'Tabella Pesi'!$B$1:$B$16),COLUMN('Tabella Pesi'!$N$1))=Engine!H$48,Engine!H$49,Engine!$J$49)))</f>
        <v/>
      </c>
      <c r="E14" s="278" t="str">
        <f>IF(C14="","",IF(C14=Engine!$B$27,"N/A",IF(C14=Engine!$B$24,1,IF(C14=Engine!$B$25,0.5,0))))</f>
        <v/>
      </c>
      <c r="F14" s="785"/>
      <c r="R14" s="135"/>
      <c r="AC14"/>
      <c r="AD14"/>
      <c r="AE14"/>
    </row>
    <row r="15" spans="1:41" x14ac:dyDescent="0.35">
      <c r="A15" s="119">
        <f>IF(OR('Tabella Pesi'!N14=Engine!$G$48,'Tabella Pesi'!N14=Engine!$H$48,'Tabella Pesi'!N14=Engine!$J$48),1,0)</f>
        <v>0</v>
      </c>
      <c r="B15" s="132" t="str" cm="1">
        <f t="array" ref="B15">IFERROR(INDEX('Tabella Pesi'!$B$2:$B$16, SMALL(IF(1=$A$3:$A$17, ROW('Tabella Pesi'!$B$2:$B$16)-1,""), ROW()-2)),"")</f>
        <v/>
      </c>
      <c r="C15" s="164" t="str">
        <f>IF(B15="","",_xlfn.XLOOKUP(B15,'Val. Maturità'!$B$4:$B$18,'Val. Maturità'!$C$4:$C$18))</f>
        <v/>
      </c>
      <c r="D15" s="176" t="str" cm="1">
        <f t="array" ref="D15">IF(B15="","",IF(INDEX('Tabella Pesi'!$A$1:$Q$16,_xlfn.XMATCH(B15,'Tabella Pesi'!$B$1:$B$16),COLUMN('Tabella Pesi'!$N$1))=Engine!G$48,Engine!G$49,IF(INDEX('Tabella Pesi'!$A$1:$Q$16,_xlfn.XMATCH(B15,'Tabella Pesi'!$B$1:$B$16),COLUMN('Tabella Pesi'!$N$1))=Engine!H$48,Engine!H$49,Engine!$J$49)))</f>
        <v/>
      </c>
      <c r="E15" s="278" t="str">
        <f>IF(C15="","",IF(C15=Engine!$B$27,"N/A",IF(C15=Engine!$B$24,1,IF(C15=Engine!$B$25,0.5,0))))</f>
        <v/>
      </c>
      <c r="F15" s="785"/>
      <c r="R15" s="135"/>
      <c r="AC15"/>
      <c r="AD15"/>
      <c r="AE15"/>
    </row>
    <row r="16" spans="1:41" x14ac:dyDescent="0.35">
      <c r="A16" s="119">
        <f>IF(OR('Tabella Pesi'!N15=Engine!$G$48,'Tabella Pesi'!N15=Engine!$H$48,'Tabella Pesi'!N15=Engine!$J$48),1,0)</f>
        <v>1</v>
      </c>
      <c r="B16" s="132" t="str" cm="1">
        <f t="array" ref="B16">IFERROR(INDEX('Tabella Pesi'!$B$2:$B$16, SMALL(IF(1=$A$3:$A$17, ROW('Tabella Pesi'!$B$2:$B$16)-1,""), ROW()-2)),"")</f>
        <v/>
      </c>
      <c r="C16" s="164" t="str">
        <f>IF(B16="","",_xlfn.XLOOKUP(B16,'Val. Maturità'!$B$4:$B$18,'Val. Maturità'!$C$4:$C$18))</f>
        <v/>
      </c>
      <c r="D16" s="176" t="str" cm="1">
        <f t="array" ref="D16">IF(B16="","",IF(INDEX('Tabella Pesi'!$A$1:$Q$16,_xlfn.XMATCH(B16,'Tabella Pesi'!$B$1:$B$16),COLUMN('Tabella Pesi'!$N$1))=Engine!G$48,Engine!G$49,IF(INDEX('Tabella Pesi'!$A$1:$Q$16,_xlfn.XMATCH(B16,'Tabella Pesi'!$B$1:$B$16),COLUMN('Tabella Pesi'!$N$1))=Engine!H$48,Engine!H$49,Engine!$J$49)))</f>
        <v/>
      </c>
      <c r="E16" s="278" t="str">
        <f>IF(C16="","",IF(C16=Engine!$B$27,"N/A",IF(C16=Engine!$B$24,1,IF(C16=Engine!$B$25,0.5,0))))</f>
        <v/>
      </c>
      <c r="F16" s="785"/>
      <c r="R16" s="135"/>
      <c r="AC16"/>
      <c r="AD16"/>
      <c r="AE16"/>
      <c r="AL16" s="254"/>
    </row>
    <row r="17" spans="1:31" ht="16" thickBot="1" x14ac:dyDescent="0.4">
      <c r="A17" s="120">
        <f>IF(OR('Tabella Pesi'!N16=Engine!$G$48,'Tabella Pesi'!N16=Engine!$H$48,'Tabella Pesi'!N16=Engine!$J$48),1,0)</f>
        <v>0</v>
      </c>
      <c r="B17" s="133" t="str" cm="1">
        <f t="array" ref="B17">IFERROR(INDEX('Tabella Pesi'!$B$2:$B$16, SMALL(IF(1=$A$3:$A$17, ROW('Tabella Pesi'!$B$2:$B$16)-1,""), ROW()-2)),"")</f>
        <v/>
      </c>
      <c r="C17" s="165" t="str">
        <f>IF(B17="","",_xlfn.XLOOKUP(B17,'Val. Maturità'!$B$4:$B$18,'Val. Maturità'!$C$4:$C$18))</f>
        <v/>
      </c>
      <c r="D17" s="177" t="str" cm="1">
        <f t="array" ref="D17">IF(B17="","",IF(INDEX('Tabella Pesi'!$A$1:$Q$16,_xlfn.XMATCH(B17,'Tabella Pesi'!$B$1:$B$16),COLUMN('Tabella Pesi'!$N$1))=Engine!G$48,Engine!G$49,IF(INDEX('Tabella Pesi'!$A$1:$Q$16,_xlfn.XMATCH(B17,'Tabella Pesi'!$B$1:$B$16),COLUMN('Tabella Pesi'!$N$1))=Engine!H$48,Engine!H$49,Engine!$J$49)))</f>
        <v/>
      </c>
      <c r="E17" s="279" t="str">
        <f>IF(C17="","",IF(C17=Engine!$B$27,"N/A",IF(C17=Engine!$B$24,1,IF(C17=Engine!$B$25,0.5,0))))</f>
        <v/>
      </c>
      <c r="F17" s="786"/>
      <c r="R17" s="135"/>
      <c r="AC17"/>
      <c r="AD17"/>
      <c r="AE17"/>
    </row>
    <row r="18" spans="1:31" ht="16" thickBot="1" x14ac:dyDescent="0.4">
      <c r="A18" s="140"/>
      <c r="B18" s="137"/>
      <c r="C18" s="137"/>
      <c r="D18" s="137"/>
      <c r="E18" s="137"/>
      <c r="F18" s="137"/>
      <c r="G18" s="137"/>
      <c r="H18" s="137"/>
      <c r="I18" s="137"/>
      <c r="J18" s="137"/>
      <c r="K18" s="137"/>
      <c r="L18" s="137"/>
      <c r="M18" s="137"/>
      <c r="N18" s="137"/>
      <c r="O18" s="137"/>
      <c r="P18" s="137"/>
      <c r="Q18" s="137"/>
      <c r="R18" s="139"/>
      <c r="AC18"/>
      <c r="AD18"/>
      <c r="AE18"/>
    </row>
    <row r="19" spans="1:31" x14ac:dyDescent="0.35"/>
    <row r="20" spans="1:31" x14ac:dyDescent="0.35"/>
    <row r="21" spans="1:31" x14ac:dyDescent="0.35"/>
    <row r="22" spans="1:31" x14ac:dyDescent="0.35"/>
    <row r="23" spans="1:31" x14ac:dyDescent="0.35"/>
    <row r="24" spans="1:31" x14ac:dyDescent="0.35"/>
    <row r="25" spans="1:31" x14ac:dyDescent="0.35"/>
    <row r="26" spans="1:31" x14ac:dyDescent="0.35"/>
    <row r="27" spans="1:31" x14ac:dyDescent="0.35"/>
    <row r="28" spans="1:31" x14ac:dyDescent="0.35"/>
    <row r="29" spans="1:31" x14ac:dyDescent="0.35"/>
    <row r="30" spans="1:31" x14ac:dyDescent="0.35"/>
    <row r="31" spans="1:31" x14ac:dyDescent="0.35"/>
    <row r="32" spans="1:31" x14ac:dyDescent="0.35"/>
    <row r="33" spans="34:36" x14ac:dyDescent="0.35"/>
    <row r="34" spans="34:36" x14ac:dyDescent="0.35"/>
    <row r="35" spans="34:36" x14ac:dyDescent="0.35"/>
    <row r="36" spans="34:36" x14ac:dyDescent="0.35"/>
    <row r="37" spans="34:36" x14ac:dyDescent="0.35"/>
    <row r="38" spans="34:36" x14ac:dyDescent="0.35"/>
    <row r="39" spans="34:36" x14ac:dyDescent="0.35"/>
    <row r="40" spans="34:36" x14ac:dyDescent="0.35"/>
    <row r="41" spans="34:36" x14ac:dyDescent="0.35"/>
    <row r="42" spans="34:36" x14ac:dyDescent="0.35"/>
    <row r="43" spans="34:36" x14ac:dyDescent="0.35"/>
    <row r="44" spans="34:36" x14ac:dyDescent="0.35"/>
    <row r="45" spans="34:36" x14ac:dyDescent="0.35"/>
    <row r="46" spans="34:36" x14ac:dyDescent="0.35"/>
    <row r="47" spans="34:36" x14ac:dyDescent="0.35">
      <c r="AH47" s="716"/>
      <c r="AI47" s="716"/>
      <c r="AJ47" s="254"/>
    </row>
    <row r="48" spans="34:36" x14ac:dyDescent="0.35"/>
    <row r="49" x14ac:dyDescent="0.35"/>
    <row r="50" x14ac:dyDescent="0.35"/>
  </sheetData>
  <sheetProtection algorithmName="SHA-512" hashValue="z3/V3boqNPD2xcaStG57MRGtbGswDrcYvEjZdV0SP4RZ9//FFtoxjLu1cxuIxfFQ/IEXrspMaomYDay/mychVg==" saltValue="Cgoja5TgANv8JTlpC5h7+Q==" spinCount="100000" sheet="1" objects="1" scenarios="1" selectLockedCells="1" selectUnlockedCells="1"/>
  <mergeCells count="6">
    <mergeCell ref="A1:R1"/>
    <mergeCell ref="AM2:AO2"/>
    <mergeCell ref="AH47:AI47"/>
    <mergeCell ref="F3:F17"/>
    <mergeCell ref="I5:L5"/>
    <mergeCell ref="I3:L3"/>
  </mergeCells>
  <conditionalFormatting sqref="AM16:AN16">
    <cfRule type="colorScale" priority="3">
      <colorScale>
        <cfvo type="num" val="0"/>
        <cfvo type="num" val="0.5"/>
        <cfvo type="num" val="1"/>
        <color rgb="FF00B050"/>
        <color rgb="FFFFEB84"/>
        <color theme="5"/>
      </colorScale>
    </cfRule>
  </conditionalFormatting>
  <dataValidations count="1">
    <dataValidation type="list" allowBlank="1" showInputMessage="1" showErrorMessage="1" sqref="P3" xr:uid="{0F9B672C-BBF5-41B5-9985-D8B3114E0926}">
      <formula1>"0,1,2,3,4,5,6,7,8,9,10"</formula1>
    </dataValidation>
  </dataValidation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" id="{0361BF14-58D9-4AE8-931A-A2E0462A80EF}">
            <xm:f>COUNTA(B3:B17)-COUNTIFS(B3:B17,"")&lt;&gt;'Tabella Pesi'!$N$17</xm:f>
            <x14:dxf>
              <fill>
                <patternFill>
                  <bgColor rgb="FFFF0000"/>
                </patternFill>
              </fill>
            </x14:dxf>
          </x14:cfRule>
          <xm:sqref>B2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944B69-6BE5-4F97-B2C3-55AC55B6FA14}">
  <sheetPr codeName="Foglio17">
    <tabColor theme="5"/>
  </sheetPr>
  <dimension ref="A1:AS51"/>
  <sheetViews>
    <sheetView showGridLines="0" topLeftCell="B1" zoomScale="60" zoomScaleNormal="60" workbookViewId="0">
      <selection activeCell="B1" sqref="A1:XFD1048576"/>
    </sheetView>
  </sheetViews>
  <sheetFormatPr defaultColWidth="0" defaultRowHeight="15.5" zeroHeight="1" outlineLevelCol="1" x14ac:dyDescent="0.35"/>
  <cols>
    <col min="1" max="1" width="4.54296875" style="20" hidden="1" customWidth="1" outlineLevel="1"/>
    <col min="2" max="2" width="75.36328125" style="20" customWidth="1" collapsed="1"/>
    <col min="3" max="3" width="8.81640625" style="20" customWidth="1"/>
    <col min="4" max="4" width="7.6328125" style="20" hidden="1" customWidth="1" outlineLevel="1"/>
    <col min="5" max="5" width="8.81640625" style="20" hidden="1" customWidth="1" outlineLevel="1"/>
    <col min="6" max="6" width="8.81640625" style="20" customWidth="1" collapsed="1"/>
    <col min="7" max="31" width="8.81640625" style="20" customWidth="1"/>
    <col min="32" max="45" width="8.81640625" customWidth="1"/>
    <col min="46" max="16384" width="9.1796875" hidden="1"/>
  </cols>
  <sheetData>
    <row r="1" spans="1:41" ht="30.5" customHeight="1" thickBot="1" x14ac:dyDescent="0.4">
      <c r="A1" s="787" t="s">
        <v>44</v>
      </c>
      <c r="B1" s="788"/>
      <c r="C1" s="788"/>
      <c r="D1" s="788"/>
      <c r="E1" s="788"/>
      <c r="F1" s="788"/>
      <c r="G1" s="788"/>
      <c r="H1" s="788"/>
      <c r="I1" s="788"/>
      <c r="J1" s="788"/>
      <c r="K1" s="788"/>
      <c r="L1" s="788"/>
      <c r="M1" s="788"/>
      <c r="N1" s="788"/>
      <c r="O1" s="788"/>
      <c r="P1" s="788"/>
      <c r="Q1" s="788"/>
      <c r="R1" s="789"/>
      <c r="AC1"/>
      <c r="AD1"/>
      <c r="AE1"/>
    </row>
    <row r="2" spans="1:41" ht="16" thickBot="1" x14ac:dyDescent="0.4">
      <c r="A2" s="141"/>
      <c r="B2"/>
      <c r="C2"/>
      <c r="D2"/>
      <c r="R2" s="84"/>
      <c r="AC2"/>
      <c r="AD2"/>
      <c r="AE2"/>
      <c r="AM2" s="716"/>
      <c r="AN2" s="716"/>
      <c r="AO2" s="716"/>
    </row>
    <row r="3" spans="1:41" ht="50.5" customHeight="1" thickBot="1" x14ac:dyDescent="0.4">
      <c r="A3" s="77">
        <f>IF(OR('Tabella Pesi'!O2=Engine!$G$48,'Tabella Pesi'!O2=Engine!$H$48,'Tabella Pesi'!O2=Engine!$J$48),1,0)</f>
        <v>0</v>
      </c>
      <c r="B3" s="131" t="str" cm="1">
        <f t="array" ref="B3">IFERROR(INDEX('Tabella Pesi'!$B$2:$B$16, SMALL(IF(1=$A$3:$A$17, ROW('Tabella Pesi'!$B$2:$B$16)-1,""), ROW()-2)),"")</f>
        <v>I servizi web (social network, cloud computing, posta elettronica, spazio web, ecc.) offerti da terze parti a cui si è registrati sono quelli strettamente necessari.</v>
      </c>
      <c r="C3" s="166">
        <f>IF(B3="","",_xlfn.XLOOKUP(B3,'Val. Maturità'!$B$4:$B$18,'Val. Maturità'!$C$4:$C$18))</f>
        <v>0</v>
      </c>
      <c r="D3" s="80" cm="1">
        <f t="array" ref="D3">IF(B3="","",IF(INDEX('Tabella Pesi'!$A$1:$Q$16,_xlfn.XMATCH(B3,'Tabella Pesi'!$B$1:$B$16),COLUMN('Tabella Pesi'!$O$1))=Engine!G$48,Engine!G$49,IF(INDEX('Tabella Pesi'!$A$1:$Q$16,_xlfn.XMATCH(B3,'Tabella Pesi'!$B$1:$B$16),COLUMN('Tabella Pesi'!$O$1))=Engine!H$48,Engine!H$49,Engine!$J$49)))</f>
        <v>1</v>
      </c>
      <c r="E3" s="277">
        <f>IF(C3="","",IF(C3=Engine!$B$27,"N/A",IF(C3=Engine!$B$24,1,IF(C3=Engine!$B$25,0.5,0))))</f>
        <v>0</v>
      </c>
      <c r="F3" s="790" cm="1">
        <f t="array" ref="F3">(SUMPRODUCT(--(E3:E17&lt;&gt;"N/A"),E3:E17,D3:D17)/SUMIF(E3:E17,"&lt;&gt;N/A",D3:D17))*10</f>
        <v>0</v>
      </c>
      <c r="I3" s="723" t="s">
        <v>296</v>
      </c>
      <c r="J3" s="724"/>
      <c r="K3" s="724"/>
      <c r="L3" s="725"/>
      <c r="M3" s="115" t="e">
        <f>Engine!$H$58+((Engine!$D$57-Engine!$H$58)/(1+Engine!$D$58*EXP(-Engine!$H$57*(F3-Engine!$F$57)))^(1/Engine!$F$58))</f>
        <v>#VALUE!</v>
      </c>
      <c r="N3"/>
      <c r="O3"/>
      <c r="P3"/>
      <c r="R3" s="84"/>
      <c r="AC3"/>
      <c r="AD3"/>
      <c r="AE3"/>
    </row>
    <row r="4" spans="1:41" ht="47" thickBot="1" x14ac:dyDescent="0.4">
      <c r="A4" s="78">
        <f>IF(OR('Tabella Pesi'!O3=Engine!$G$48,'Tabella Pesi'!O3=Engine!$H$48,'Tabella Pesi'!O3=Engine!$J$48),1,0)</f>
        <v>1</v>
      </c>
      <c r="B4" s="132" t="str" cm="1">
        <f t="array" ref="B4">IFERROR(INDEX('Tabella Pesi'!$B$2:$B$16, SMALL(IF(1=$A$3:$A$17, ROW('Tabella Pesi'!$B$2:$B$16)-1,""), ROW()-2)),"")</f>
        <v>Sono identificate e rispettate le leggi e/o i regolamenti con rilevanza in tema di cybersecurity che risultino applicabili per l’azienda.</v>
      </c>
      <c r="C4" s="167">
        <f>IF(B4="","",_xlfn.XLOOKUP(B4,'Val. Maturità'!$B$4:$B$18,'Val. Maturità'!$C$4:$C$18))</f>
        <v>0</v>
      </c>
      <c r="D4" s="81" cm="1">
        <f t="array" ref="D4">IF(B4="","",IF(INDEX('Tabella Pesi'!$A$1:$Q$16,_xlfn.XMATCH(B4,'Tabella Pesi'!$B$1:$B$16),COLUMN('Tabella Pesi'!$O$1))=Engine!G$48,Engine!G$49,IF(INDEX('Tabella Pesi'!$A$1:$Q$16,_xlfn.XMATCH(B4,'Tabella Pesi'!$B$1:$B$16),COLUMN('Tabella Pesi'!$O$1))=Engine!H$48,Engine!H$49,Engine!$J$49)))</f>
        <v>1</v>
      </c>
      <c r="E4" s="278">
        <f>IF(C4="","",IF(C4=Engine!$B$27,"N/A",IF(C4=Engine!$B$24,1,IF(C4=Engine!$B$25,0.5,0))))</f>
        <v>0</v>
      </c>
      <c r="F4" s="791"/>
      <c r="R4" s="84"/>
      <c r="AC4"/>
      <c r="AD4"/>
      <c r="AE4"/>
    </row>
    <row r="5" spans="1:41" ht="37.5" customHeight="1" thickBot="1" x14ac:dyDescent="0.4">
      <c r="A5" s="78">
        <f>IF(OR('Tabella Pesi'!O4=Engine!$G$48,'Tabella Pesi'!O4=Engine!$H$48,'Tabella Pesi'!O4=Engine!$J$48),1,0)</f>
        <v>0</v>
      </c>
      <c r="B5" s="132" t="str" cm="1">
        <f t="array" ref="B5">IFERROR(INDEX('Tabella Pesi'!$B$2:$B$16, SMALL(IF(1=$A$3:$A$17, ROW('Tabella Pesi'!$B$2:$B$16)-1,""), ROW()-2)),"")</f>
        <v>Tutti i dispositivi che lo consentono sono dotati di software di protezione (antivirus, antimalware, ecc...) regolarmente aggiornato.</v>
      </c>
      <c r="C5" s="167">
        <f>IF(B5="","",_xlfn.XLOOKUP(B5,'Val. Maturità'!$B$4:$B$18,'Val. Maturità'!$C$4:$C$18))</f>
        <v>0</v>
      </c>
      <c r="D5" s="81" cm="1">
        <f t="array" ref="D5">IF(B5="","",IF(INDEX('Tabella Pesi'!$A$1:$Q$16,_xlfn.XMATCH(B5,'Tabella Pesi'!$B$1:$B$16),COLUMN('Tabella Pesi'!$O$1))=Engine!G$48,Engine!G$49,IF(INDEX('Tabella Pesi'!$A$1:$Q$16,_xlfn.XMATCH(B5,'Tabella Pesi'!$B$1:$B$16),COLUMN('Tabella Pesi'!$O$1))=Engine!H$48,Engine!H$49,Engine!$J$49)))</f>
        <v>1</v>
      </c>
      <c r="E5" s="278">
        <f>IF(C5="","",IF(C5=Engine!$B$27,"N/A",IF(C5=Engine!$B$24,1,IF(C5=Engine!$B$25,0.5,0))))</f>
        <v>0</v>
      </c>
      <c r="F5" s="791"/>
      <c r="I5" s="720" t="s">
        <v>88</v>
      </c>
      <c r="J5" s="721"/>
      <c r="K5" s="721"/>
      <c r="L5" s="722"/>
      <c r="M5" s="255" t="e">
        <f>M3*'Val. Maturità'!Q5</f>
        <v>#VALUE!</v>
      </c>
      <c r="O5"/>
      <c r="P5"/>
      <c r="R5" s="84"/>
      <c r="AC5"/>
      <c r="AD5"/>
      <c r="AE5"/>
    </row>
    <row r="6" spans="1:41" ht="46.5" x14ac:dyDescent="0.35">
      <c r="A6" s="78">
        <f>IF(OR('Tabella Pesi'!O5=Engine!$G$48,'Tabella Pesi'!O5=Engine!$H$48,'Tabella Pesi'!O5=Engine!$J$48),1,0)</f>
        <v>0</v>
      </c>
      <c r="B6" s="132" t="str" cm="1">
        <f t="array" ref="B6">IFERROR(INDEX('Tabella Pesi'!$B$2:$B$16, SMALL(IF(1=$A$3:$A$17, ROW('Tabella Pesi'!$B$2:$B$16)-1,""), ROW()-2)),"")</f>
        <v>Il personale è adeguatamente sensibilizzato e formato sui rischi di cybersecurity e sulle pratiche da adottare per l’impiego sicuro degli strumenti aziendali (es. riconoscere allegati e-mail, utilizzare solo software autorizzato,...). I vertici aziendali hanno cura di predisporre per tutto il personale aziendale la formazione necessaria a fornire almeno le nozioni basilari di sicurezza.</v>
      </c>
      <c r="C6" s="167">
        <f>IF(B6="","",_xlfn.XLOOKUP(B6,'Val. Maturità'!$B$4:$B$18,'Val. Maturità'!$C$4:$C$18))</f>
        <v>0</v>
      </c>
      <c r="D6" s="81" cm="1">
        <f t="array" ref="D6">IF(B6="","",IF(INDEX('Tabella Pesi'!$A$1:$Q$16,_xlfn.XMATCH(B6,'Tabella Pesi'!$B$1:$B$16),COLUMN('Tabella Pesi'!$O$1))=Engine!G$48,Engine!G$49,IF(INDEX('Tabella Pesi'!$A$1:$Q$16,_xlfn.XMATCH(B6,'Tabella Pesi'!$B$1:$B$16),COLUMN('Tabella Pesi'!$O$1))=Engine!H$48,Engine!H$49,Engine!$J$49)))</f>
        <v>1</v>
      </c>
      <c r="E6" s="278">
        <f>IF(C6="","",IF(C6=Engine!$B$27,"N/A",IF(C6=Engine!$B$24,1,IF(C6=Engine!$B$25,0.5,0))))</f>
        <v>0</v>
      </c>
      <c r="F6" s="791"/>
      <c r="R6" s="84"/>
      <c r="AC6"/>
      <c r="AD6"/>
      <c r="AE6"/>
    </row>
    <row r="7" spans="1:41" ht="31" x14ac:dyDescent="0.35">
      <c r="A7" s="78">
        <f>IF(OR('Tabella Pesi'!O6=Engine!$G$48,'Tabella Pesi'!O6=Engine!$H$48,'Tabella Pesi'!O6=Engine!$J$48),1,0)</f>
        <v>1</v>
      </c>
      <c r="B7" s="132" t="str" cm="1">
        <f t="array" ref="B7">IFERROR(INDEX('Tabella Pesi'!$B$2:$B$16, SMALL(IF(1=$A$3:$A$17, ROW('Tabella Pesi'!$B$2:$B$16)-1,""), ROW()-2)),"")</f>
        <v>La configurazione iniziale di tutti i sistemi e dispositivi è svolta da personale esperto, responsabile per la configurazione sicura degli stessi. Le credenziali di accesso di default sono sempre sostituite.</v>
      </c>
      <c r="C7" s="167">
        <f>IF(B7="","",_xlfn.XLOOKUP(B7,'Val. Maturità'!$B$4:$B$18,'Val. Maturità'!$C$4:$C$18))</f>
        <v>0</v>
      </c>
      <c r="D7" s="81" cm="1">
        <f t="array" ref="D7">IF(B7="","",IF(INDEX('Tabella Pesi'!$A$1:$Q$16,_xlfn.XMATCH(B7,'Tabella Pesi'!$B$1:$B$16),COLUMN('Tabella Pesi'!$O$1))=Engine!G$48,Engine!G$49,IF(INDEX('Tabella Pesi'!$A$1:$Q$16,_xlfn.XMATCH(B7,'Tabella Pesi'!$B$1:$B$16),COLUMN('Tabella Pesi'!$O$1))=Engine!H$48,Engine!H$49,Engine!$J$49)))</f>
        <v>1</v>
      </c>
      <c r="E7" s="278">
        <f>IF(C7="","",IF(C7=Engine!$B$27,"N/A",IF(C7=Engine!$B$24,1,IF(C7=Engine!$B$25,0.5,0))))</f>
        <v>0</v>
      </c>
      <c r="F7" s="791"/>
      <c r="R7" s="84"/>
      <c r="AC7"/>
      <c r="AD7"/>
      <c r="AE7"/>
    </row>
    <row r="8" spans="1:41" ht="46.5" x14ac:dyDescent="0.35">
      <c r="A8" s="78">
        <f>IF(OR('Tabella Pesi'!O7=Engine!$G$48,'Tabella Pesi'!O7=Engine!$H$48,'Tabella Pesi'!O7=Engine!$J$48),1,0)</f>
        <v>1</v>
      </c>
      <c r="B8" s="132" t="str" cm="1">
        <f t="array" ref="B8">IFERROR(INDEX('Tabella Pesi'!$B$2:$B$16, SMALL(IF(1=$A$3:$A$17, ROW('Tabella Pesi'!$B$2:$B$16)-1,""), ROW()-2)),"")</f>
        <v>Sono eseguiti periodicamente backup delle informazioni e dei dati critici per l’azienda (identificati al controllo 3). I backup sono conservati in modo sicuro e verificati periodicamente.</v>
      </c>
      <c r="C8" s="167">
        <f>IF(B8="","",_xlfn.XLOOKUP(B8,'Val. Maturità'!$B$4:$B$18,'Val. Maturità'!$C$4:$C$18))</f>
        <v>0</v>
      </c>
      <c r="D8" s="81" cm="1">
        <f t="array" ref="D8">IF(B8="","",IF(INDEX('Tabella Pesi'!$A$1:$Q$16,_xlfn.XMATCH(B8,'Tabella Pesi'!$B$1:$B$16),COLUMN('Tabella Pesi'!$O$1))=Engine!G$48,Engine!G$49,IF(INDEX('Tabella Pesi'!$A$1:$Q$16,_xlfn.XMATCH(B8,'Tabella Pesi'!$B$1:$B$16),COLUMN('Tabella Pesi'!$O$1))=Engine!H$48,Engine!H$49,Engine!$J$49)))</f>
        <v>1</v>
      </c>
      <c r="E8" s="278">
        <f>IF(C8="","",IF(C8=Engine!$B$27,"N/A",IF(C8=Engine!$B$24,1,IF(C8=Engine!$B$25,0.5,0))))</f>
        <v>0</v>
      </c>
      <c r="F8" s="791"/>
      <c r="R8" s="84"/>
      <c r="AC8"/>
      <c r="AD8"/>
      <c r="AE8"/>
    </row>
    <row r="9" spans="1:41" x14ac:dyDescent="0.35">
      <c r="A9" s="78">
        <f>IF(OR('Tabella Pesi'!O8=Engine!$G$48,'Tabella Pesi'!O8=Engine!$H$48,'Tabella Pesi'!O8=Engine!$J$48),1,0)</f>
        <v>0</v>
      </c>
      <c r="B9" s="132" t="str" cm="1">
        <f t="array" ref="B9">IFERROR(INDEX('Tabella Pesi'!$B$2:$B$16, SMALL(IF(1=$A$3:$A$17, ROW('Tabella Pesi'!$B$2:$B$16)-1,""), ROW()-2)),"")</f>
        <v>Tutti i software in uso (inclusi i firmware) sono aggiornati all’ultima versione consigliata dal produttore. I dispositivi o i software obsoleti e non più aggiornabili sono dismessi.</v>
      </c>
      <c r="C9" s="167">
        <f>IF(B9="","",_xlfn.XLOOKUP(B9,'Val. Maturità'!$B$4:$B$18,'Val. Maturità'!$C$4:$C$18))</f>
        <v>0</v>
      </c>
      <c r="D9" s="81" cm="1">
        <f t="array" ref="D9">IF(B9="","",IF(INDEX('Tabella Pesi'!$A$1:$Q$16,_xlfn.XMATCH(B9,'Tabella Pesi'!$B$1:$B$16),COLUMN('Tabella Pesi'!$O$1))=Engine!G$48,Engine!G$49,IF(INDEX('Tabella Pesi'!$A$1:$Q$16,_xlfn.XMATCH(B9,'Tabella Pesi'!$B$1:$B$16),COLUMN('Tabella Pesi'!$O$1))=Engine!H$48,Engine!H$49,Engine!$J$49)))</f>
        <v>1</v>
      </c>
      <c r="E9" s="278">
        <f>IF(C9="","",IF(C9=Engine!$B$27,"N/A",IF(C9=Engine!$B$24,1,IF(C9=Engine!$B$25,0.5,0))))</f>
        <v>0</v>
      </c>
      <c r="F9" s="791"/>
      <c r="R9" s="84"/>
      <c r="AC9"/>
      <c r="AD9"/>
      <c r="AE9"/>
    </row>
    <row r="10" spans="1:41" x14ac:dyDescent="0.35">
      <c r="A10" s="78">
        <f>IF(OR('Tabella Pesi'!O9=Engine!$G$48,'Tabella Pesi'!O9=Engine!$H$48,'Tabella Pesi'!O9=Engine!$J$48),1,0)</f>
        <v>0</v>
      </c>
      <c r="B10" s="132" t="str" cm="1">
        <f t="array" ref="B10">IFERROR(INDEX('Tabella Pesi'!$B$2:$B$16, SMALL(IF(1=$A$3:$A$17, ROW('Tabella Pesi'!$B$2:$B$16)-1,""), ROW()-2)),"")</f>
        <v/>
      </c>
      <c r="C10" s="167" t="str">
        <f>IF(B10="","",_xlfn.XLOOKUP(B10,'Val. Maturità'!$B$4:$B$18,'Val. Maturità'!$C$4:$C$18))</f>
        <v/>
      </c>
      <c r="D10" s="81" t="str" cm="1">
        <f t="array" ref="D10">IF(B10="","",IF(INDEX('Tabella Pesi'!$A$1:$Q$16,_xlfn.XMATCH(B10,'Tabella Pesi'!$B$1:$B$16),COLUMN('Tabella Pesi'!$O$1))=Engine!G$48,Engine!G$49,IF(INDEX('Tabella Pesi'!$A$1:$Q$16,_xlfn.XMATCH(B10,'Tabella Pesi'!$B$1:$B$16),COLUMN('Tabella Pesi'!$O$1))=Engine!H$48,Engine!H$49,Engine!$J$49)))</f>
        <v/>
      </c>
      <c r="E10" s="278" t="str">
        <f>IF(C10="","",IF(C10=Engine!$B$27,"N/A",IF(C10=Engine!$B$24,1,IF(C10=Engine!$B$25,0.5,0))))</f>
        <v/>
      </c>
      <c r="F10" s="791"/>
      <c r="R10" s="84"/>
      <c r="AC10"/>
      <c r="AD10"/>
      <c r="AE10"/>
    </row>
    <row r="11" spans="1:41" x14ac:dyDescent="0.35">
      <c r="A11" s="78">
        <f>IF(OR('Tabella Pesi'!O10=Engine!$G$48,'Tabella Pesi'!O10=Engine!$H$48,'Tabella Pesi'!O10=Engine!$J$48),1,0)</f>
        <v>0</v>
      </c>
      <c r="B11" s="132" t="str" cm="1">
        <f t="array" ref="B11">IFERROR(INDEX('Tabella Pesi'!$B$2:$B$16, SMALL(IF(1=$A$3:$A$17, ROW('Tabella Pesi'!$B$2:$B$16)-1,""), ROW()-2)),"")</f>
        <v/>
      </c>
      <c r="C11" s="167" t="str">
        <f>IF(B11="","",_xlfn.XLOOKUP(B11,'Val. Maturità'!$B$4:$B$18,'Val. Maturità'!$C$4:$C$18))</f>
        <v/>
      </c>
      <c r="D11" s="81" t="str" cm="1">
        <f t="array" ref="D11">IF(B11="","",IF(INDEX('Tabella Pesi'!$A$1:$Q$16,_xlfn.XMATCH(B11,'Tabella Pesi'!$B$1:$B$16),COLUMN('Tabella Pesi'!$O$1))=Engine!G$48,Engine!G$49,IF(INDEX('Tabella Pesi'!$A$1:$Q$16,_xlfn.XMATCH(B11,'Tabella Pesi'!$B$1:$B$16),COLUMN('Tabella Pesi'!$O$1))=Engine!H$48,Engine!H$49,Engine!$J$49)))</f>
        <v/>
      </c>
      <c r="E11" s="278" t="str">
        <f>IF(C11="","",IF(C11=Engine!$B$27,"N/A",IF(C11=Engine!$B$24,1,IF(C11=Engine!$B$25,0.5,0))))</f>
        <v/>
      </c>
      <c r="F11" s="791"/>
      <c r="R11" s="84"/>
      <c r="AC11"/>
      <c r="AD11"/>
      <c r="AE11"/>
    </row>
    <row r="12" spans="1:41" x14ac:dyDescent="0.35">
      <c r="A12" s="78">
        <f>IF(OR('Tabella Pesi'!O11=Engine!$G$48,'Tabella Pesi'!O11=Engine!$H$48,'Tabella Pesi'!O11=Engine!$J$48),1,0)</f>
        <v>1</v>
      </c>
      <c r="B12" s="132" t="str" cm="1">
        <f t="array" ref="B12">IFERROR(INDEX('Tabella Pesi'!$B$2:$B$16, SMALL(IF(1=$A$3:$A$17, ROW('Tabella Pesi'!$B$2:$B$16)-1,""), ROW()-2)),"")</f>
        <v/>
      </c>
      <c r="C12" s="167" t="str">
        <f>IF(B12="","",_xlfn.XLOOKUP(B12,'Val. Maturità'!$B$4:$B$18,'Val. Maturità'!$C$4:$C$18))</f>
        <v/>
      </c>
      <c r="D12" s="81" t="str" cm="1">
        <f t="array" ref="D12">IF(B12="","",IF(INDEX('Tabella Pesi'!$A$1:$Q$16,_xlfn.XMATCH(B12,'Tabella Pesi'!$B$1:$B$16),COLUMN('Tabella Pesi'!$O$1))=Engine!G$48,Engine!G$49,IF(INDEX('Tabella Pesi'!$A$1:$Q$16,_xlfn.XMATCH(B12,'Tabella Pesi'!$B$1:$B$16),COLUMN('Tabella Pesi'!$O$1))=Engine!H$48,Engine!H$49,Engine!$J$49)))</f>
        <v/>
      </c>
      <c r="E12" s="278" t="str">
        <f>IF(C12="","",IF(C12=Engine!$B$27,"N/A",IF(C12=Engine!$B$24,1,IF(C12=Engine!$B$25,0.5,0))))</f>
        <v/>
      </c>
      <c r="F12" s="791"/>
      <c r="R12" s="84"/>
      <c r="AC12"/>
      <c r="AD12"/>
      <c r="AE12"/>
    </row>
    <row r="13" spans="1:41" x14ac:dyDescent="0.35">
      <c r="A13" s="78">
        <f>IF(OR('Tabella Pesi'!O12=Engine!$G$48,'Tabella Pesi'!O12=Engine!$H$48,'Tabella Pesi'!O12=Engine!$J$48),1,0)</f>
        <v>1</v>
      </c>
      <c r="B13" s="132" t="str" cm="1">
        <f t="array" ref="B13">IFERROR(INDEX('Tabella Pesi'!$B$2:$B$16, SMALL(IF(1=$A$3:$A$17, ROW('Tabella Pesi'!$B$2:$B$16)-1,""), ROW()-2)),"")</f>
        <v/>
      </c>
      <c r="C13" s="167" t="str">
        <f>IF(B13="","",_xlfn.XLOOKUP(B13,'Val. Maturità'!$B$4:$B$18,'Val. Maturità'!$C$4:$C$18))</f>
        <v/>
      </c>
      <c r="D13" s="81" t="str" cm="1">
        <f t="array" ref="D13">IF(B13="","",IF(INDEX('Tabella Pesi'!$A$1:$Q$16,_xlfn.XMATCH(B13,'Tabella Pesi'!$B$1:$B$16),COLUMN('Tabella Pesi'!$O$1))=Engine!G$48,Engine!G$49,IF(INDEX('Tabella Pesi'!$A$1:$Q$16,_xlfn.XMATCH(B13,'Tabella Pesi'!$B$1:$B$16),COLUMN('Tabella Pesi'!$O$1))=Engine!H$48,Engine!H$49,Engine!$J$49)))</f>
        <v/>
      </c>
      <c r="E13" s="278" t="str">
        <f>IF(C13="","",IF(C13=Engine!$B$27,"N/A",IF(C13=Engine!$B$24,1,IF(C13=Engine!$B$25,0.5,0))))</f>
        <v/>
      </c>
      <c r="F13" s="791"/>
      <c r="R13" s="84"/>
      <c r="AC13"/>
      <c r="AD13"/>
      <c r="AE13"/>
    </row>
    <row r="14" spans="1:41" x14ac:dyDescent="0.35">
      <c r="A14" s="78">
        <f>IF(OR('Tabella Pesi'!O13=Engine!$G$48,'Tabella Pesi'!O13=Engine!$H$48,'Tabella Pesi'!O13=Engine!$J$48),1,0)</f>
        <v>1</v>
      </c>
      <c r="B14" s="132" t="str" cm="1">
        <f t="array" ref="B14">IFERROR(INDEX('Tabella Pesi'!$B$2:$B$16, SMALL(IF(1=$A$3:$A$17, ROW('Tabella Pesi'!$B$2:$B$16)-1,""), ROW()-2)),"")</f>
        <v/>
      </c>
      <c r="C14" s="167" t="str">
        <f>IF(B14="","",_xlfn.XLOOKUP(B14,'Val. Maturità'!$B$4:$B$18,'Val. Maturità'!$C$4:$C$18))</f>
        <v/>
      </c>
      <c r="D14" s="81" t="str" cm="1">
        <f t="array" ref="D14">IF(B14="","",IF(INDEX('Tabella Pesi'!$A$1:$Q$16,_xlfn.XMATCH(B14,'Tabella Pesi'!$B$1:$B$16),COLUMN('Tabella Pesi'!$O$1))=Engine!G$48,Engine!G$49,IF(INDEX('Tabella Pesi'!$A$1:$Q$16,_xlfn.XMATCH(B14,'Tabella Pesi'!$B$1:$B$16),COLUMN('Tabella Pesi'!$O$1))=Engine!H$48,Engine!H$49,Engine!$J$49)))</f>
        <v/>
      </c>
      <c r="E14" s="278" t="str">
        <f>IF(C14="","",IF(C14=Engine!$B$27,"N/A",IF(C14=Engine!$B$24,1,IF(C14=Engine!$B$25,0.5,0))))</f>
        <v/>
      </c>
      <c r="F14" s="791"/>
      <c r="R14" s="84"/>
      <c r="AC14"/>
      <c r="AD14"/>
      <c r="AE14"/>
    </row>
    <row r="15" spans="1:41" x14ac:dyDescent="0.35">
      <c r="A15" s="78">
        <f>IF(OR('Tabella Pesi'!O14=Engine!$G$48,'Tabella Pesi'!O14=Engine!$H$48,'Tabella Pesi'!O14=Engine!$J$48),1,0)</f>
        <v>0</v>
      </c>
      <c r="B15" s="132" t="str" cm="1">
        <f t="array" ref="B15">IFERROR(INDEX('Tabella Pesi'!$B$2:$B$16, SMALL(IF(1=$A$3:$A$17, ROW('Tabella Pesi'!$B$2:$B$16)-1,""), ROW()-2)),"")</f>
        <v/>
      </c>
      <c r="C15" s="167" t="str">
        <f>IF(B15="","",_xlfn.XLOOKUP(B15,'Val. Maturità'!$B$4:$B$18,'Val. Maturità'!$C$4:$C$18))</f>
        <v/>
      </c>
      <c r="D15" s="81" t="str" cm="1">
        <f t="array" ref="D15">IF(B15="","",IF(INDEX('Tabella Pesi'!$A$1:$Q$16,_xlfn.XMATCH(B15,'Tabella Pesi'!$B$1:$B$16),COLUMN('Tabella Pesi'!$O$1))=Engine!G$48,Engine!G$49,IF(INDEX('Tabella Pesi'!$A$1:$Q$16,_xlfn.XMATCH(B15,'Tabella Pesi'!$B$1:$B$16),COLUMN('Tabella Pesi'!$O$1))=Engine!H$48,Engine!H$49,Engine!$J$49)))</f>
        <v/>
      </c>
      <c r="E15" s="278" t="str">
        <f>IF(C15="","",IF(C15=Engine!$B$27,"N/A",IF(C15=Engine!$B$24,1,IF(C15=Engine!$B$25,0.5,0))))</f>
        <v/>
      </c>
      <c r="F15" s="791"/>
      <c r="R15" s="84"/>
      <c r="AC15"/>
      <c r="AD15"/>
      <c r="AE15"/>
    </row>
    <row r="16" spans="1:41" x14ac:dyDescent="0.35">
      <c r="A16" s="78">
        <f>IF(OR('Tabella Pesi'!O15=Engine!$G$48,'Tabella Pesi'!O15=Engine!$H$48,'Tabella Pesi'!O15=Engine!$J$48),1,0)</f>
        <v>0</v>
      </c>
      <c r="B16" s="132" t="str" cm="1">
        <f t="array" ref="B16">IFERROR(INDEX('Tabella Pesi'!$B$2:$B$16, SMALL(IF(1=$A$3:$A$17, ROW('Tabella Pesi'!$B$2:$B$16)-1,""), ROW()-2)),"")</f>
        <v/>
      </c>
      <c r="C16" s="167" t="str">
        <f>IF(B16="","",_xlfn.XLOOKUP(B16,'Val. Maturità'!$B$4:$B$18,'Val. Maturità'!$C$4:$C$18))</f>
        <v/>
      </c>
      <c r="D16" s="81" t="str" cm="1">
        <f t="array" ref="D16">IF(B16="","",IF(INDEX('Tabella Pesi'!$A$1:$Q$16,_xlfn.XMATCH(B16,'Tabella Pesi'!$B$1:$B$16),COLUMN('Tabella Pesi'!$O$1))=Engine!G$48,Engine!G$49,IF(INDEX('Tabella Pesi'!$A$1:$Q$16,_xlfn.XMATCH(B16,'Tabella Pesi'!$B$1:$B$16),COLUMN('Tabella Pesi'!$O$1))=Engine!H$48,Engine!H$49,Engine!$J$49)))</f>
        <v/>
      </c>
      <c r="E16" s="278" t="str">
        <f>IF(C16="","",IF(C16=Engine!$B$27,"N/A",IF(C16=Engine!$B$24,1,IF(C16=Engine!$B$25,0.5,0))))</f>
        <v/>
      </c>
      <c r="F16" s="791"/>
      <c r="R16" s="84"/>
      <c r="AC16"/>
      <c r="AD16"/>
      <c r="AE16"/>
      <c r="AL16" s="254"/>
    </row>
    <row r="17" spans="1:31" ht="16" thickBot="1" x14ac:dyDescent="0.4">
      <c r="A17" s="79">
        <f>IF(OR('Tabella Pesi'!O16=Engine!$G$48,'Tabella Pesi'!O16=Engine!$H$48,'Tabella Pesi'!O16=Engine!$J$48),1,0)</f>
        <v>1</v>
      </c>
      <c r="B17" s="133" t="str" cm="1">
        <f t="array" ref="B17">IFERROR(INDEX('Tabella Pesi'!$B$2:$B$16, SMALL(IF(1=$A$3:$A$17, ROW('Tabella Pesi'!$B$2:$B$16)-1,""), ROW()-2)),"")</f>
        <v/>
      </c>
      <c r="C17" s="168" t="str">
        <f>IF(B17="","",_xlfn.XLOOKUP(B17,'Val. Maturità'!$B$4:$B$18,'Val. Maturità'!$C$4:$C$18))</f>
        <v/>
      </c>
      <c r="D17" s="82" t="str" cm="1">
        <f t="array" ref="D17">IF(B17="","",IF(INDEX('Tabella Pesi'!$A$1:$Q$16,_xlfn.XMATCH(B17,'Tabella Pesi'!$B$1:$B$16),COLUMN('Tabella Pesi'!$O$1))=Engine!G$48,Engine!G$49,IF(INDEX('Tabella Pesi'!$A$1:$Q$16,_xlfn.XMATCH(B17,'Tabella Pesi'!$B$1:$B$16),COLUMN('Tabella Pesi'!$O$1))=Engine!H$48,Engine!H$49,Engine!$J$49)))</f>
        <v/>
      </c>
      <c r="E17" s="279" t="str">
        <f>IF(C17="","",IF(C17=Engine!$B$27,"N/A",IF(C17=Engine!$B$24,1,IF(C17=Engine!$B$25,0.5,0))))</f>
        <v/>
      </c>
      <c r="F17" s="792"/>
      <c r="R17" s="84"/>
      <c r="AC17"/>
      <c r="AD17"/>
      <c r="AE17"/>
    </row>
    <row r="18" spans="1:31" ht="16" thickBot="1" x14ac:dyDescent="0.4">
      <c r="A18" s="146"/>
      <c r="B18" s="89"/>
      <c r="C18" s="89"/>
      <c r="D18" s="89"/>
      <c r="E18" s="89"/>
      <c r="F18" s="89"/>
      <c r="G18" s="89"/>
      <c r="H18" s="89"/>
      <c r="I18" s="89"/>
      <c r="J18" s="89"/>
      <c r="K18" s="89"/>
      <c r="L18" s="89"/>
      <c r="M18" s="89"/>
      <c r="N18" s="89"/>
      <c r="O18" s="89"/>
      <c r="P18" s="89"/>
      <c r="Q18" s="89"/>
      <c r="R18" s="90"/>
      <c r="AC18"/>
      <c r="AD18"/>
      <c r="AE18"/>
    </row>
    <row r="19" spans="1:31" x14ac:dyDescent="0.35"/>
    <row r="20" spans="1:31" x14ac:dyDescent="0.35"/>
    <row r="21" spans="1:31" x14ac:dyDescent="0.35"/>
    <row r="22" spans="1:31" x14ac:dyDescent="0.35"/>
    <row r="23" spans="1:31" x14ac:dyDescent="0.35"/>
    <row r="24" spans="1:31" x14ac:dyDescent="0.35"/>
    <row r="25" spans="1:31" x14ac:dyDescent="0.35"/>
    <row r="26" spans="1:31" x14ac:dyDescent="0.35"/>
    <row r="27" spans="1:31" x14ac:dyDescent="0.35"/>
    <row r="28" spans="1:31" x14ac:dyDescent="0.35"/>
    <row r="29" spans="1:31" x14ac:dyDescent="0.35"/>
    <row r="30" spans="1:31" x14ac:dyDescent="0.35"/>
    <row r="31" spans="1:31" x14ac:dyDescent="0.35"/>
    <row r="32" spans="1:31" x14ac:dyDescent="0.35"/>
    <row r="33" spans="34:36" x14ac:dyDescent="0.35"/>
    <row r="34" spans="34:36" x14ac:dyDescent="0.35"/>
    <row r="35" spans="34:36" x14ac:dyDescent="0.35"/>
    <row r="36" spans="34:36" x14ac:dyDescent="0.35"/>
    <row r="37" spans="34:36" x14ac:dyDescent="0.35"/>
    <row r="38" spans="34:36" x14ac:dyDescent="0.35"/>
    <row r="39" spans="34:36" x14ac:dyDescent="0.35"/>
    <row r="40" spans="34:36" x14ac:dyDescent="0.35"/>
    <row r="41" spans="34:36" x14ac:dyDescent="0.35"/>
    <row r="42" spans="34:36" x14ac:dyDescent="0.35"/>
    <row r="43" spans="34:36" x14ac:dyDescent="0.35"/>
    <row r="44" spans="34:36" x14ac:dyDescent="0.35"/>
    <row r="45" spans="34:36" x14ac:dyDescent="0.35"/>
    <row r="46" spans="34:36" x14ac:dyDescent="0.35"/>
    <row r="47" spans="34:36" x14ac:dyDescent="0.35">
      <c r="AH47" s="716"/>
      <c r="AI47" s="716"/>
      <c r="AJ47" s="254"/>
    </row>
    <row r="48" spans="34:36" x14ac:dyDescent="0.35"/>
    <row r="49" x14ac:dyDescent="0.35"/>
    <row r="50" x14ac:dyDescent="0.35"/>
    <row r="51" ht="18.5" hidden="1" customHeight="1" x14ac:dyDescent="0.35"/>
  </sheetData>
  <sheetProtection algorithmName="SHA-512" hashValue="zkmq74aXSeVVoLdKMVDZPNwnM1VCd33bmEM0d11uygw02//aQxKo4YkhEg53jCp3QWzH6aaPTjSqLy3PQfBoXQ==" saltValue="xPtc9iQxqtMzDE5A0KmOsA==" spinCount="100000" sheet="1" objects="1" scenarios="1" selectLockedCells="1" selectUnlockedCells="1"/>
  <mergeCells count="6">
    <mergeCell ref="A1:R1"/>
    <mergeCell ref="AM2:AO2"/>
    <mergeCell ref="AH47:AI47"/>
    <mergeCell ref="F3:F17"/>
    <mergeCell ref="I5:L5"/>
    <mergeCell ref="I3:L3"/>
  </mergeCells>
  <conditionalFormatting sqref="AM16:AN16">
    <cfRule type="colorScale" priority="3">
      <colorScale>
        <cfvo type="num" val="0"/>
        <cfvo type="num" val="0.5"/>
        <cfvo type="num" val="1"/>
        <color rgb="FF00B050"/>
        <color rgb="FFFFEB84"/>
        <color theme="5"/>
      </colorScale>
    </cfRule>
  </conditionalFormatting>
  <dataValidations count="1">
    <dataValidation type="list" allowBlank="1" showInputMessage="1" showErrorMessage="1" sqref="P3" xr:uid="{C8E036B1-F763-41BC-9E73-9D7AF91AA530}">
      <formula1>"0,1,2,3,4,5,6,7,8,9,10"</formula1>
    </dataValidation>
  </dataValidation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" id="{84478640-254E-4847-8713-64ED99BC080D}">
            <xm:f>COUNTA(B3:B17)-COUNTIFS(B3:B17,"")&lt;&gt;'Tabella Pesi'!$O$17</xm:f>
            <x14:dxf>
              <fill>
                <patternFill>
                  <bgColor rgb="FFFF0000"/>
                </patternFill>
              </fill>
            </x14:dxf>
          </x14:cfRule>
          <xm:sqref>B2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31CAD8-A604-417C-8C95-0D92A48F6781}">
  <sheetPr codeName="Foglio18">
    <tabColor theme="5" tint="-0.249977111117893"/>
  </sheetPr>
  <dimension ref="A1:AS50"/>
  <sheetViews>
    <sheetView showGridLines="0" topLeftCell="B1" zoomScale="60" zoomScaleNormal="60" workbookViewId="0">
      <selection sqref="A1:R1"/>
    </sheetView>
  </sheetViews>
  <sheetFormatPr defaultColWidth="0" defaultRowHeight="15.5" zeroHeight="1" outlineLevelCol="1" x14ac:dyDescent="0.35"/>
  <cols>
    <col min="1" max="1" width="5.36328125" style="18" hidden="1" customWidth="1" outlineLevel="1"/>
    <col min="2" max="2" width="75.36328125" style="18" customWidth="1" collapsed="1"/>
    <col min="3" max="3" width="8.81640625" style="18" customWidth="1"/>
    <col min="4" max="4" width="7.36328125" style="18" hidden="1" customWidth="1" outlineLevel="1"/>
    <col min="5" max="5" width="8.54296875" style="18" hidden="1" customWidth="1" outlineLevel="1"/>
    <col min="6" max="6" width="8.81640625" style="18" customWidth="1" collapsed="1"/>
    <col min="7" max="31" width="8.81640625" style="18" customWidth="1"/>
    <col min="32" max="39" width="8.81640625" customWidth="1"/>
    <col min="40" max="40" width="11.08984375" customWidth="1"/>
    <col min="41" max="45" width="8.81640625" customWidth="1"/>
    <col min="46" max="16384" width="8.81640625" hidden="1"/>
  </cols>
  <sheetData>
    <row r="1" spans="1:41" ht="32" customHeight="1" thickBot="1" x14ac:dyDescent="0.4">
      <c r="A1" s="793" t="s">
        <v>45</v>
      </c>
      <c r="B1" s="794"/>
      <c r="C1" s="794"/>
      <c r="D1" s="794"/>
      <c r="E1" s="794"/>
      <c r="F1" s="794"/>
      <c r="G1" s="794"/>
      <c r="H1" s="794"/>
      <c r="I1" s="794"/>
      <c r="J1" s="794"/>
      <c r="K1" s="794"/>
      <c r="L1" s="794"/>
      <c r="M1" s="794"/>
      <c r="N1" s="794"/>
      <c r="O1" s="794"/>
      <c r="P1" s="794"/>
      <c r="Q1" s="794"/>
      <c r="R1" s="795"/>
      <c r="AC1"/>
      <c r="AD1"/>
      <c r="AE1"/>
    </row>
    <row r="2" spans="1:41" ht="16" thickBot="1" x14ac:dyDescent="0.4">
      <c r="A2" s="141"/>
      <c r="B2"/>
      <c r="C2"/>
      <c r="D2"/>
      <c r="R2" s="135"/>
      <c r="AC2"/>
      <c r="AD2"/>
      <c r="AE2"/>
      <c r="AM2" s="716"/>
      <c r="AN2" s="716"/>
      <c r="AO2" s="716"/>
    </row>
    <row r="3" spans="1:41" ht="38.5" customHeight="1" thickBot="1" x14ac:dyDescent="0.4">
      <c r="A3" s="118">
        <f>IF(OR('Tabella Pesi'!P2=Engine!$G$48,'Tabella Pesi'!P2=Engine!$H$48,'Tabella Pesi'!P2=Engine!$J$48),1,0)</f>
        <v>0</v>
      </c>
      <c r="B3" s="131" t="str" cm="1">
        <f t="array" ref="B3">IFERROR(INDEX('Tabella Pesi'!$B$2:$B$16, SMALL(IF(1=$A$3:$A$17, ROW('Tabella Pesi'!$B$2:$B$16)-1,""), ROW()-2)),"")</f>
        <v>I servizi web (social network, cloud computing, posta elettronica, spazio web, ecc.) offerti da terze parti a cui si è registrati sono quelli strettamente necessari.</v>
      </c>
      <c r="C3" s="163">
        <f>IF(B3="","",_xlfn.XLOOKUP(B3,'Val. Maturità'!$B$4:$B$18,'Val. Maturità'!$C$4:$C$18))</f>
        <v>0</v>
      </c>
      <c r="D3" s="175" cm="1">
        <f t="array" ref="D3">IF(B3="","",IF(INDEX('Tabella Pesi'!$A$1:$Q$16,_xlfn.XMATCH(B3,'Tabella Pesi'!$B$1:$B$16),COLUMN('Tabella Pesi'!$P$1))=Engine!G$48,Engine!G$49,IF(INDEX('Tabella Pesi'!$A$1:$Q$16,_xlfn.XMATCH(B3,'Tabella Pesi'!$B$1:$B$16),COLUMN('Tabella Pesi'!$P$1))=Engine!H$48,Engine!H$49,Engine!$J$49)))</f>
        <v>1</v>
      </c>
      <c r="E3" s="277">
        <f>IF(C3="","",IF(C3=Engine!$B$27,"N/A",IF(C3=Engine!$B$24,1,IF(C3=Engine!$B$25,0.5,0))))</f>
        <v>0</v>
      </c>
      <c r="F3" s="778" cm="1">
        <f t="array" ref="F3">(SUMPRODUCT(--(E3:E17&lt;&gt;"N/A"),E3:E17,D3:D17)/SUMIF(E3:E17,"&lt;&gt;N/A",D3:D17))*10</f>
        <v>0</v>
      </c>
      <c r="H3" s="20"/>
      <c r="I3" s="723" t="s">
        <v>296</v>
      </c>
      <c r="J3" s="724"/>
      <c r="K3" s="724"/>
      <c r="L3" s="725"/>
      <c r="M3" s="115" t="e">
        <f>Engine!$H$58+((Engine!$D$57-Engine!$H$58)/(1+Engine!$D$58*EXP(-Engine!$H$57*(F3-Engine!$F$57)))^(1/Engine!$F$58))</f>
        <v>#VALUE!</v>
      </c>
      <c r="N3"/>
      <c r="O3"/>
      <c r="P3"/>
      <c r="Q3" s="20"/>
      <c r="R3" s="135"/>
      <c r="AC3"/>
      <c r="AD3"/>
      <c r="AE3"/>
    </row>
    <row r="4" spans="1:41" ht="47" thickBot="1" x14ac:dyDescent="0.4">
      <c r="A4" s="119">
        <f>IF(OR('Tabella Pesi'!P3=Engine!$G$48,'Tabella Pesi'!P3=Engine!$H$48,'Tabella Pesi'!P3=Engine!$J$48),1,0)</f>
        <v>1</v>
      </c>
      <c r="B4" s="132" t="str" cm="1">
        <f t="array" ref="B4">IFERROR(INDEX('Tabella Pesi'!$B$2:$B$16, SMALL(IF(1=$A$3:$A$17, ROW('Tabella Pesi'!$B$2:$B$16)-1,""), ROW()-2)),"")</f>
        <v>Sono identificate e rispettate le leggi e/o i regolamenti con rilevanza in tema di cybersecurity che risultino applicabili per l’azienda.</v>
      </c>
      <c r="C4" s="164">
        <f>IF(B4="","",_xlfn.XLOOKUP(B4,'Val. Maturità'!$B$4:$B$18,'Val. Maturità'!$C$4:$C$18))</f>
        <v>0</v>
      </c>
      <c r="D4" s="176" cm="1">
        <f t="array" ref="D4">IF(B4="","",IF(INDEX('Tabella Pesi'!$A$1:$Q$16,_xlfn.XMATCH(B4,'Tabella Pesi'!$B$1:$B$16),COLUMN('Tabella Pesi'!$P$1))=Engine!G$48,Engine!G$49,IF(INDEX('Tabella Pesi'!$A$1:$Q$16,_xlfn.XMATCH(B4,'Tabella Pesi'!$B$1:$B$16),COLUMN('Tabella Pesi'!$P$1))=Engine!H$48,Engine!H$49,Engine!$J$49)))</f>
        <v>1</v>
      </c>
      <c r="E4" s="278">
        <f>IF(C4="","",IF(C4=Engine!$B$27,"N/A",IF(C4=Engine!$B$24,1,IF(C4=Engine!$B$25,0.5,0))))</f>
        <v>0</v>
      </c>
      <c r="F4" s="779"/>
      <c r="H4" s="20"/>
      <c r="I4" s="20"/>
      <c r="J4" s="20"/>
      <c r="K4" s="20"/>
      <c r="L4" s="20"/>
      <c r="M4" s="20"/>
      <c r="N4" s="20"/>
      <c r="O4" s="20"/>
      <c r="P4" s="20"/>
      <c r="Q4" s="20"/>
      <c r="R4" s="135"/>
      <c r="AC4"/>
      <c r="AD4"/>
      <c r="AE4"/>
    </row>
    <row r="5" spans="1:41" ht="40" customHeight="1" thickBot="1" x14ac:dyDescent="0.4">
      <c r="A5" s="119">
        <f>IF(OR('Tabella Pesi'!P4=Engine!$G$48,'Tabella Pesi'!P4=Engine!$H$48,'Tabella Pesi'!P4=Engine!$J$48),1,0)</f>
        <v>0</v>
      </c>
      <c r="B5" s="132" t="str" cm="1">
        <f t="array" ref="B5">IFERROR(INDEX('Tabella Pesi'!$B$2:$B$16, SMALL(IF(1=$A$3:$A$17, ROW('Tabella Pesi'!$B$2:$B$16)-1,""), ROW()-2)),"")</f>
        <v>Tutti i dispositivi che lo consentono sono dotati di software di protezione (antivirus, antimalware, ecc...) regolarmente aggiornato.</v>
      </c>
      <c r="C5" s="164">
        <f>IF(B5="","",_xlfn.XLOOKUP(B5,'Val. Maturità'!$B$4:$B$18,'Val. Maturità'!$C$4:$C$18))</f>
        <v>0</v>
      </c>
      <c r="D5" s="176" cm="1">
        <f t="array" ref="D5">IF(B5="","",IF(INDEX('Tabella Pesi'!$A$1:$Q$16,_xlfn.XMATCH(B5,'Tabella Pesi'!$B$1:$B$16),COLUMN('Tabella Pesi'!$P$1))=Engine!G$48,Engine!G$49,IF(INDEX('Tabella Pesi'!$A$1:$Q$16,_xlfn.XMATCH(B5,'Tabella Pesi'!$B$1:$B$16),COLUMN('Tabella Pesi'!$P$1))=Engine!H$48,Engine!H$49,Engine!$J$49)))</f>
        <v>1</v>
      </c>
      <c r="E5" s="278">
        <f>IF(C5="","",IF(C5=Engine!$B$27,"N/A",IF(C5=Engine!$B$24,1,IF(C5=Engine!$B$25,0.5,0))))</f>
        <v>0</v>
      </c>
      <c r="F5" s="779"/>
      <c r="H5" s="20"/>
      <c r="I5" s="720" t="s">
        <v>88</v>
      </c>
      <c r="J5" s="721"/>
      <c r="K5" s="721"/>
      <c r="L5" s="722"/>
      <c r="M5" s="255" t="e">
        <f>M3*'Val. Maturità'!Q5</f>
        <v>#VALUE!</v>
      </c>
      <c r="N5" s="20"/>
      <c r="O5"/>
      <c r="P5"/>
      <c r="Q5" s="20"/>
      <c r="R5" s="135"/>
      <c r="AC5"/>
      <c r="AD5"/>
      <c r="AE5"/>
    </row>
    <row r="6" spans="1:41" ht="31" x14ac:dyDescent="0.35">
      <c r="A6" s="119">
        <f>IF(OR('Tabella Pesi'!P5=Engine!$G$48,'Tabella Pesi'!P5=Engine!$H$48,'Tabella Pesi'!P5=Engine!$J$48),1,0)</f>
        <v>0</v>
      </c>
      <c r="B6" s="132" t="str" cm="1">
        <f t="array" ref="B6">IFERROR(INDEX('Tabella Pesi'!$B$2:$B$16, SMALL(IF(1=$A$3:$A$17, ROW('Tabella Pesi'!$B$2:$B$16)-1,""), ROW()-2)),"")</f>
        <v>Le password sono diverse per ogni account, della complessità adeguata e viene valutato l’utilizzo dei sistemi di autenticazione più sicuri offerti dal provider del servizio (es. autenticazione a due fattori).</v>
      </c>
      <c r="C6" s="164">
        <f>IF(B6="","",_xlfn.XLOOKUP(B6,'Val. Maturità'!$B$4:$B$18,'Val. Maturità'!$C$4:$C$18))</f>
        <v>0</v>
      </c>
      <c r="D6" s="176" cm="1">
        <f t="array" ref="D6">IF(B6="","",IF(INDEX('Tabella Pesi'!$A$1:$Q$16,_xlfn.XMATCH(B6,'Tabella Pesi'!$B$1:$B$16),COLUMN('Tabella Pesi'!$P$1))=Engine!G$48,Engine!G$49,IF(INDEX('Tabella Pesi'!$A$1:$Q$16,_xlfn.XMATCH(B6,'Tabella Pesi'!$B$1:$B$16),COLUMN('Tabella Pesi'!$P$1))=Engine!H$48,Engine!H$49,Engine!$J$49)))</f>
        <v>1</v>
      </c>
      <c r="E6" s="278">
        <f>IF(C6="","",IF(C6=Engine!$B$27,"N/A",IF(C6=Engine!$B$24,1,IF(C6=Engine!$B$25,0.5,0))))</f>
        <v>0</v>
      </c>
      <c r="F6" s="779"/>
      <c r="R6" s="135"/>
      <c r="AC6"/>
      <c r="AD6"/>
      <c r="AE6"/>
    </row>
    <row r="7" spans="1:41" ht="46.5" x14ac:dyDescent="0.35">
      <c r="A7" s="119">
        <f>IF(OR('Tabella Pesi'!P6=Engine!$G$48,'Tabella Pesi'!P6=Engine!$H$48,'Tabella Pesi'!P6=Engine!$J$48),1,0)</f>
        <v>1</v>
      </c>
      <c r="B7" s="132" t="str" cm="1">
        <f t="array" ref="B7">IFERROR(INDEX('Tabella Pesi'!$B$2:$B$16, SMALL(IF(1=$A$3:$A$17, ROW('Tabella Pesi'!$B$2:$B$16)-1,""), ROW()-2)),"")</f>
        <v>Il personale è adeguatamente sensibilizzato e formato sui rischi di cybersecurity e sulle pratiche da adottare per l’impiego sicuro degli strumenti aziendali (es. riconoscere allegati e-mail, utilizzare solo software autorizzato,...). I vertici aziendali hanno cura di predisporre per tutto il personale aziendale la formazione necessaria a fornire almeno le nozioni basilari di sicurezza.</v>
      </c>
      <c r="C7" s="164">
        <f>IF(B7="","",_xlfn.XLOOKUP(B7,'Val. Maturità'!$B$4:$B$18,'Val. Maturità'!$C$4:$C$18))</f>
        <v>0</v>
      </c>
      <c r="D7" s="176" cm="1">
        <f t="array" ref="D7">IF(B7="","",IF(INDEX('Tabella Pesi'!$A$1:$Q$16,_xlfn.XMATCH(B7,'Tabella Pesi'!$B$1:$B$16),COLUMN('Tabella Pesi'!$P$1))=Engine!G$48,Engine!G$49,IF(INDEX('Tabella Pesi'!$A$1:$Q$16,_xlfn.XMATCH(B7,'Tabella Pesi'!$B$1:$B$16),COLUMN('Tabella Pesi'!$P$1))=Engine!H$48,Engine!H$49,Engine!$J$49)))</f>
        <v>1</v>
      </c>
      <c r="E7" s="278">
        <f>IF(C7="","",IF(C7=Engine!$B$27,"N/A",IF(C7=Engine!$B$24,1,IF(C7=Engine!$B$25,0.5,0))))</f>
        <v>0</v>
      </c>
      <c r="F7" s="779"/>
      <c r="R7" s="135"/>
      <c r="AC7"/>
      <c r="AD7"/>
      <c r="AE7"/>
    </row>
    <row r="8" spans="1:41" ht="31" x14ac:dyDescent="0.35">
      <c r="A8" s="119">
        <f>IF(OR('Tabella Pesi'!P7=Engine!$G$48,'Tabella Pesi'!P7=Engine!$H$48,'Tabella Pesi'!P7=Engine!$J$48),1,0)</f>
        <v>1</v>
      </c>
      <c r="B8" s="132" t="str" cm="1">
        <f t="array" ref="B8">IFERROR(INDEX('Tabella Pesi'!$B$2:$B$16, SMALL(IF(1=$A$3:$A$17, ROW('Tabella Pesi'!$B$2:$B$16)-1,""), ROW()-2)),"")</f>
        <v>La configurazione iniziale di tutti i sistemi e dispositivi è svolta da personale esperto, responsabile per la configurazione sicura degli stessi. Le credenziali di accesso di default sono sempre sostituite.</v>
      </c>
      <c r="C8" s="164">
        <f>IF(B8="","",_xlfn.XLOOKUP(B8,'Val. Maturità'!$B$4:$B$18,'Val. Maturità'!$C$4:$C$18))</f>
        <v>0</v>
      </c>
      <c r="D8" s="176" cm="1">
        <f t="array" ref="D8">IF(B8="","",IF(INDEX('Tabella Pesi'!$A$1:$Q$16,_xlfn.XMATCH(B8,'Tabella Pesi'!$B$1:$B$16),COLUMN('Tabella Pesi'!$P$1))=Engine!G$48,Engine!G$49,IF(INDEX('Tabella Pesi'!$A$1:$Q$16,_xlfn.XMATCH(B8,'Tabella Pesi'!$B$1:$B$16),COLUMN('Tabella Pesi'!$P$1))=Engine!H$48,Engine!H$49,Engine!$J$49)))</f>
        <v>1</v>
      </c>
      <c r="E8" s="278">
        <f>IF(C8="","",IF(C8=Engine!$B$27,"N/A",IF(C8=Engine!$B$24,1,IF(C8=Engine!$B$25,0.5,0))))</f>
        <v>0</v>
      </c>
      <c r="F8" s="779"/>
      <c r="R8" s="135"/>
      <c r="AC8"/>
      <c r="AD8"/>
      <c r="AE8"/>
    </row>
    <row r="9" spans="1:41" ht="46.5" x14ac:dyDescent="0.35">
      <c r="A9" s="119">
        <f>IF(OR('Tabella Pesi'!P8=Engine!$G$48,'Tabella Pesi'!P8=Engine!$H$48,'Tabella Pesi'!P8=Engine!$J$48),1,0)</f>
        <v>1</v>
      </c>
      <c r="B9" s="132" t="str" cm="1">
        <f t="array" ref="B9">IFERROR(INDEX('Tabella Pesi'!$B$2:$B$16, SMALL(IF(1=$A$3:$A$17, ROW('Tabella Pesi'!$B$2:$B$16)-1,""), ROW()-2)),"")</f>
        <v>Le reti e i sistemi sono protetti da accessi non autorizzati attraverso strumenti specifici (es: Firewall e altri dispositivi/software anti-intrusione).</v>
      </c>
      <c r="C9" s="164">
        <f>IF(B9="","",_xlfn.XLOOKUP(B9,'Val. Maturità'!$B$4:$B$18,'Val. Maturità'!$C$4:$C$18))</f>
        <v>0</v>
      </c>
      <c r="D9" s="176" cm="1">
        <f t="array" ref="D9">IF(B9="","",IF(INDEX('Tabella Pesi'!$A$1:$Q$16,_xlfn.XMATCH(B9,'Tabella Pesi'!$B$1:$B$16),COLUMN('Tabella Pesi'!$P$1))=Engine!G$48,Engine!G$49,IF(INDEX('Tabella Pesi'!$A$1:$Q$16,_xlfn.XMATCH(B9,'Tabella Pesi'!$B$1:$B$16),COLUMN('Tabella Pesi'!$P$1))=Engine!H$48,Engine!H$49,Engine!$J$49)))</f>
        <v>1</v>
      </c>
      <c r="E9" s="278">
        <f>IF(C9="","",IF(C9=Engine!$B$27,"N/A",IF(C9=Engine!$B$24,1,IF(C9=Engine!$B$25,0.5,0))))</f>
        <v>0</v>
      </c>
      <c r="F9" s="779"/>
      <c r="R9" s="135"/>
      <c r="AC9"/>
      <c r="AD9"/>
      <c r="AE9"/>
    </row>
    <row r="10" spans="1:41" x14ac:dyDescent="0.35">
      <c r="A10" s="119">
        <f>IF(OR('Tabella Pesi'!P9=Engine!$G$48,'Tabella Pesi'!P9=Engine!$H$48,'Tabella Pesi'!P9=Engine!$J$48),1,0)</f>
        <v>0</v>
      </c>
      <c r="B10" s="132" t="str" cm="1">
        <f t="array" ref="B10">IFERROR(INDEX('Tabella Pesi'!$B$2:$B$16, SMALL(IF(1=$A$3:$A$17, ROW('Tabella Pesi'!$B$2:$B$16)-1,""), ROW()-2)),"")</f>
        <v/>
      </c>
      <c r="C10" s="164" t="str">
        <f>IF(B10="","",_xlfn.XLOOKUP(B10,'Val. Maturità'!$B$4:$B$18,'Val. Maturità'!$C$4:$C$18))</f>
        <v/>
      </c>
      <c r="D10" s="176" t="str" cm="1">
        <f t="array" ref="D10">IF(B10="","",IF(INDEX('Tabella Pesi'!$A$1:$Q$16,_xlfn.XMATCH(B10,'Tabella Pesi'!$B$1:$B$16),COLUMN('Tabella Pesi'!$P$1))=Engine!G$48,Engine!G$49,IF(INDEX('Tabella Pesi'!$A$1:$Q$16,_xlfn.XMATCH(B10,'Tabella Pesi'!$B$1:$B$16),COLUMN('Tabella Pesi'!$P$1))=Engine!H$48,Engine!H$49,Engine!$J$49)))</f>
        <v/>
      </c>
      <c r="E10" s="278" t="str">
        <f>IF(C10="","",IF(C10=Engine!$B$27,"N/A",IF(C10=Engine!$B$24,1,IF(C10=Engine!$B$25,0.5,0))))</f>
        <v/>
      </c>
      <c r="F10" s="779"/>
      <c r="R10" s="135"/>
      <c r="AC10"/>
      <c r="AD10"/>
      <c r="AE10"/>
    </row>
    <row r="11" spans="1:41" x14ac:dyDescent="0.35">
      <c r="A11" s="119">
        <f>IF(OR('Tabella Pesi'!P10=Engine!$G$48,'Tabella Pesi'!P10=Engine!$H$48,'Tabella Pesi'!P10=Engine!$J$48),1,0)</f>
        <v>0</v>
      </c>
      <c r="B11" s="132" t="str" cm="1">
        <f t="array" ref="B11">IFERROR(INDEX('Tabella Pesi'!$B$2:$B$16, SMALL(IF(1=$A$3:$A$17, ROW('Tabella Pesi'!$B$2:$B$16)-1,""), ROW()-2)),"")</f>
        <v/>
      </c>
      <c r="C11" s="164" t="str">
        <f>IF(B11="","",_xlfn.XLOOKUP(B11,'Val. Maturità'!$B$4:$B$18,'Val. Maturità'!$C$4:$C$18))</f>
        <v/>
      </c>
      <c r="D11" s="176" t="str" cm="1">
        <f t="array" ref="D11">IF(B11="","",IF(INDEX('Tabella Pesi'!$A$1:$Q$16,_xlfn.XMATCH(B11,'Tabella Pesi'!$B$1:$B$16),COLUMN('Tabella Pesi'!$P$1))=Engine!G$48,Engine!G$49,IF(INDEX('Tabella Pesi'!$A$1:$Q$16,_xlfn.XMATCH(B11,'Tabella Pesi'!$B$1:$B$16),COLUMN('Tabella Pesi'!$P$1))=Engine!H$48,Engine!H$49,Engine!$J$49)))</f>
        <v/>
      </c>
      <c r="E11" s="278" t="str">
        <f>IF(C11="","",IF(C11=Engine!$B$27,"N/A",IF(C11=Engine!$B$24,1,IF(C11=Engine!$B$25,0.5,0))))</f>
        <v/>
      </c>
      <c r="F11" s="779"/>
      <c r="R11" s="135"/>
      <c r="AC11"/>
      <c r="AD11"/>
      <c r="AE11"/>
    </row>
    <row r="12" spans="1:41" x14ac:dyDescent="0.35">
      <c r="A12" s="119">
        <f>IF(OR('Tabella Pesi'!P11=Engine!$G$48,'Tabella Pesi'!P11=Engine!$H$48,'Tabella Pesi'!P11=Engine!$J$48),1,0)</f>
        <v>1</v>
      </c>
      <c r="B12" s="132" t="str" cm="1">
        <f t="array" ref="B12">IFERROR(INDEX('Tabella Pesi'!$B$2:$B$16, SMALL(IF(1=$A$3:$A$17, ROW('Tabella Pesi'!$B$2:$B$16)-1,""), ROW()-2)),"")</f>
        <v/>
      </c>
      <c r="C12" s="164" t="str">
        <f>IF(B12="","",_xlfn.XLOOKUP(B12,'Val. Maturità'!$B$4:$B$18,'Val. Maturità'!$C$4:$C$18))</f>
        <v/>
      </c>
      <c r="D12" s="176" t="str" cm="1">
        <f t="array" ref="D12">IF(B12="","",IF(INDEX('Tabella Pesi'!$A$1:$Q$16,_xlfn.XMATCH(B12,'Tabella Pesi'!$B$1:$B$16),COLUMN('Tabella Pesi'!$P$1))=Engine!G$48,Engine!G$49,IF(INDEX('Tabella Pesi'!$A$1:$Q$16,_xlfn.XMATCH(B12,'Tabella Pesi'!$B$1:$B$16),COLUMN('Tabella Pesi'!$P$1))=Engine!H$48,Engine!H$49,Engine!$J$49)))</f>
        <v/>
      </c>
      <c r="E12" s="278" t="str">
        <f>IF(C12="","",IF(C12=Engine!$B$27,"N/A",IF(C12=Engine!$B$24,1,IF(C12=Engine!$B$25,0.5,0))))</f>
        <v/>
      </c>
      <c r="F12" s="779"/>
      <c r="R12" s="135"/>
      <c r="AC12"/>
      <c r="AD12"/>
      <c r="AE12"/>
    </row>
    <row r="13" spans="1:41" x14ac:dyDescent="0.35">
      <c r="A13" s="119">
        <f>IF(OR('Tabella Pesi'!P12=Engine!$G$48,'Tabella Pesi'!P12=Engine!$H$48,'Tabella Pesi'!P12=Engine!$J$48),1,0)</f>
        <v>1</v>
      </c>
      <c r="B13" s="132" t="str" cm="1">
        <f t="array" ref="B13">IFERROR(INDEX('Tabella Pesi'!$B$2:$B$16, SMALL(IF(1=$A$3:$A$17, ROW('Tabella Pesi'!$B$2:$B$16)-1,""), ROW()-2)),"")</f>
        <v/>
      </c>
      <c r="C13" s="164" t="str">
        <f>IF(B13="","",_xlfn.XLOOKUP(B13,'Val. Maturità'!$B$4:$B$18,'Val. Maturità'!$C$4:$C$18))</f>
        <v/>
      </c>
      <c r="D13" s="176" t="str" cm="1">
        <f t="array" ref="D13">IF(B13="","",IF(INDEX('Tabella Pesi'!$A$1:$Q$16,_xlfn.XMATCH(B13,'Tabella Pesi'!$B$1:$B$16),COLUMN('Tabella Pesi'!$P$1))=Engine!G$48,Engine!G$49,IF(INDEX('Tabella Pesi'!$A$1:$Q$16,_xlfn.XMATCH(B13,'Tabella Pesi'!$B$1:$B$16),COLUMN('Tabella Pesi'!$P$1))=Engine!H$48,Engine!H$49,Engine!$J$49)))</f>
        <v/>
      </c>
      <c r="E13" s="278" t="str">
        <f>IF(C13="","",IF(C13=Engine!$B$27,"N/A",IF(C13=Engine!$B$24,1,IF(C13=Engine!$B$25,0.5,0))))</f>
        <v/>
      </c>
      <c r="F13" s="779"/>
      <c r="R13" s="135"/>
      <c r="AC13"/>
      <c r="AD13"/>
      <c r="AE13"/>
    </row>
    <row r="14" spans="1:41" x14ac:dyDescent="0.35">
      <c r="A14" s="119">
        <f>IF(OR('Tabella Pesi'!P13=Engine!$G$48,'Tabella Pesi'!P13=Engine!$H$48,'Tabella Pesi'!P13=Engine!$J$48),1,0)</f>
        <v>0</v>
      </c>
      <c r="B14" s="132" t="str" cm="1">
        <f t="array" ref="B14">IFERROR(INDEX('Tabella Pesi'!$B$2:$B$16, SMALL(IF(1=$A$3:$A$17, ROW('Tabella Pesi'!$B$2:$B$16)-1,""), ROW()-2)),"")</f>
        <v/>
      </c>
      <c r="C14" s="164" t="str">
        <f>IF(B14="","",_xlfn.XLOOKUP(B14,'Val. Maturità'!$B$4:$B$18,'Val. Maturità'!$C$4:$C$18))</f>
        <v/>
      </c>
      <c r="D14" s="176" t="str" cm="1">
        <f t="array" ref="D14">IF(B14="","",IF(INDEX('Tabella Pesi'!$A$1:$Q$16,_xlfn.XMATCH(B14,'Tabella Pesi'!$B$1:$B$16),COLUMN('Tabella Pesi'!$P$1))=Engine!G$48,Engine!G$49,IF(INDEX('Tabella Pesi'!$A$1:$Q$16,_xlfn.XMATCH(B14,'Tabella Pesi'!$B$1:$B$16),COLUMN('Tabella Pesi'!$P$1))=Engine!H$48,Engine!H$49,Engine!$J$49)))</f>
        <v/>
      </c>
      <c r="E14" s="278" t="str">
        <f>IF(C14="","",IF(C14=Engine!$B$27,"N/A",IF(C14=Engine!$B$24,1,IF(C14=Engine!$B$25,0.5,0))))</f>
        <v/>
      </c>
      <c r="F14" s="779"/>
      <c r="R14" s="135"/>
      <c r="AC14"/>
      <c r="AD14"/>
      <c r="AE14"/>
    </row>
    <row r="15" spans="1:41" x14ac:dyDescent="0.35">
      <c r="A15" s="119">
        <f>IF(OR('Tabella Pesi'!P14=Engine!$G$48,'Tabella Pesi'!P14=Engine!$H$48,'Tabella Pesi'!P14=Engine!$J$48),1,0)</f>
        <v>1</v>
      </c>
      <c r="B15" s="132" t="str" cm="1">
        <f t="array" ref="B15">IFERROR(INDEX('Tabella Pesi'!$B$2:$B$16, SMALL(IF(1=$A$3:$A$17, ROW('Tabella Pesi'!$B$2:$B$16)-1,""), ROW()-2)),"")</f>
        <v/>
      </c>
      <c r="C15" s="164" t="str">
        <f>IF(B15="","",_xlfn.XLOOKUP(B15,'Val. Maturità'!$B$4:$B$18,'Val. Maturità'!$C$4:$C$18))</f>
        <v/>
      </c>
      <c r="D15" s="176" t="str" cm="1">
        <f t="array" ref="D15">IF(B15="","",IF(INDEX('Tabella Pesi'!$A$1:$Q$16,_xlfn.XMATCH(B15,'Tabella Pesi'!$B$1:$B$16),COLUMN('Tabella Pesi'!$P$1))=Engine!G$48,Engine!G$49,IF(INDEX('Tabella Pesi'!$A$1:$Q$16,_xlfn.XMATCH(B15,'Tabella Pesi'!$B$1:$B$16),COLUMN('Tabella Pesi'!$P$1))=Engine!H$48,Engine!H$49,Engine!$J$49)))</f>
        <v/>
      </c>
      <c r="E15" s="278" t="str">
        <f>IF(C15="","",IF(C15=Engine!$B$27,"N/A",IF(C15=Engine!$B$24,1,IF(C15=Engine!$B$25,0.5,0))))</f>
        <v/>
      </c>
      <c r="F15" s="779"/>
      <c r="R15" s="135"/>
      <c r="AC15"/>
      <c r="AD15"/>
      <c r="AE15"/>
    </row>
    <row r="16" spans="1:41" x14ac:dyDescent="0.35">
      <c r="A16" s="119">
        <f>IF(OR('Tabella Pesi'!P15=Engine!$G$48,'Tabella Pesi'!P15=Engine!$H$48,'Tabella Pesi'!P15=Engine!$J$48),1,0)</f>
        <v>0</v>
      </c>
      <c r="B16" s="132" t="str" cm="1">
        <f t="array" ref="B16">IFERROR(INDEX('Tabella Pesi'!$B$2:$B$16, SMALL(IF(1=$A$3:$A$17, ROW('Tabella Pesi'!$B$2:$B$16)-1,""), ROW()-2)),"")</f>
        <v/>
      </c>
      <c r="C16" s="164" t="str">
        <f>IF(B16="","",_xlfn.XLOOKUP(B16,'Val. Maturità'!$B$4:$B$18,'Val. Maturità'!$C$4:$C$18))</f>
        <v/>
      </c>
      <c r="D16" s="176" t="str" cm="1">
        <f t="array" ref="D16">IF(B16="","",IF(INDEX('Tabella Pesi'!$A$1:$Q$16,_xlfn.XMATCH(B16,'Tabella Pesi'!$B$1:$B$16),COLUMN('Tabella Pesi'!$P$1))=Engine!G$48,Engine!G$49,IF(INDEX('Tabella Pesi'!$A$1:$Q$16,_xlfn.XMATCH(B16,'Tabella Pesi'!$B$1:$B$16),COLUMN('Tabella Pesi'!$P$1))=Engine!H$48,Engine!H$49,Engine!$J$49)))</f>
        <v/>
      </c>
      <c r="E16" s="278" t="str">
        <f>IF(C16="","",IF(C16=Engine!$B$27,"N/A",IF(C16=Engine!$B$24,1,IF(C16=Engine!$B$25,0.5,0))))</f>
        <v/>
      </c>
      <c r="F16" s="779"/>
      <c r="R16" s="135"/>
      <c r="AC16"/>
      <c r="AD16"/>
      <c r="AE16"/>
      <c r="AL16" s="254"/>
    </row>
    <row r="17" spans="1:31" ht="16" thickBot="1" x14ac:dyDescent="0.4">
      <c r="A17" s="120">
        <f>IF(OR('Tabella Pesi'!P16=Engine!$G$48,'Tabella Pesi'!P16=Engine!$H$48,'Tabella Pesi'!P16=Engine!$J$48),1,0)</f>
        <v>0</v>
      </c>
      <c r="B17" s="133" t="str" cm="1">
        <f t="array" ref="B17">IFERROR(INDEX('Tabella Pesi'!$B$2:$B$16, SMALL(IF(1=$A$3:$A$17, ROW('Tabella Pesi'!$B$2:$B$16)-1,""), ROW()-2)),"")</f>
        <v/>
      </c>
      <c r="C17" s="165" t="str">
        <f>IF(B17="","",_xlfn.XLOOKUP(B17,'Val. Maturità'!$B$4:$B$18,'Val. Maturità'!$C$4:$C$18))</f>
        <v/>
      </c>
      <c r="D17" s="177" t="str" cm="1">
        <f t="array" ref="D17">IF(B17="","",IF(INDEX('Tabella Pesi'!$A$1:$Q$16,_xlfn.XMATCH(B17,'Tabella Pesi'!$B$1:$B$16),COLUMN('Tabella Pesi'!$P$1))=Engine!G$48,Engine!G$49,IF(INDEX('Tabella Pesi'!$A$1:$Q$16,_xlfn.XMATCH(B17,'Tabella Pesi'!$B$1:$B$16),COLUMN('Tabella Pesi'!$P$1))=Engine!H$48,Engine!H$49,Engine!$J$49)))</f>
        <v/>
      </c>
      <c r="E17" s="279" t="str">
        <f>IF(C17="","",IF(C17=Engine!$B$27,"N/A",IF(C17=Engine!$B$24,1,IF(C17=Engine!$B$25,0.5,0))))</f>
        <v/>
      </c>
      <c r="F17" s="780"/>
      <c r="R17" s="135"/>
      <c r="AC17"/>
      <c r="AD17"/>
      <c r="AE17"/>
    </row>
    <row r="18" spans="1:31" ht="16" thickBot="1" x14ac:dyDescent="0.4">
      <c r="A18" s="140"/>
      <c r="B18" s="137"/>
      <c r="C18" s="137"/>
      <c r="D18" s="137"/>
      <c r="E18" s="137"/>
      <c r="F18" s="137"/>
      <c r="G18" s="137"/>
      <c r="H18" s="137"/>
      <c r="I18" s="137"/>
      <c r="J18" s="137"/>
      <c r="K18" s="137"/>
      <c r="L18" s="137"/>
      <c r="M18" s="137"/>
      <c r="N18" s="137"/>
      <c r="O18" s="137"/>
      <c r="P18" s="137"/>
      <c r="Q18" s="137"/>
      <c r="R18" s="139"/>
      <c r="AC18"/>
      <c r="AD18"/>
      <c r="AE18"/>
    </row>
    <row r="19" spans="1:31" x14ac:dyDescent="0.35"/>
    <row r="20" spans="1:31" x14ac:dyDescent="0.35"/>
    <row r="21" spans="1:31" x14ac:dyDescent="0.35"/>
    <row r="22" spans="1:31" x14ac:dyDescent="0.35"/>
    <row r="23" spans="1:31" x14ac:dyDescent="0.35"/>
    <row r="24" spans="1:31" x14ac:dyDescent="0.35"/>
    <row r="25" spans="1:31" x14ac:dyDescent="0.35"/>
    <row r="26" spans="1:31" x14ac:dyDescent="0.35"/>
    <row r="27" spans="1:31" x14ac:dyDescent="0.35"/>
    <row r="28" spans="1:31" x14ac:dyDescent="0.35"/>
    <row r="29" spans="1:31" x14ac:dyDescent="0.35"/>
    <row r="30" spans="1:31" x14ac:dyDescent="0.35"/>
    <row r="31" spans="1:31" x14ac:dyDescent="0.35"/>
    <row r="32" spans="1:31" x14ac:dyDescent="0.35"/>
    <row r="33" spans="34:36" x14ac:dyDescent="0.35"/>
    <row r="34" spans="34:36" x14ac:dyDescent="0.35"/>
    <row r="35" spans="34:36" x14ac:dyDescent="0.35"/>
    <row r="36" spans="34:36" x14ac:dyDescent="0.35"/>
    <row r="37" spans="34:36" x14ac:dyDescent="0.35"/>
    <row r="38" spans="34:36" x14ac:dyDescent="0.35"/>
    <row r="39" spans="34:36" x14ac:dyDescent="0.35"/>
    <row r="40" spans="34:36" x14ac:dyDescent="0.35"/>
    <row r="41" spans="34:36" x14ac:dyDescent="0.35"/>
    <row r="42" spans="34:36" x14ac:dyDescent="0.35"/>
    <row r="43" spans="34:36" x14ac:dyDescent="0.35"/>
    <row r="44" spans="34:36" x14ac:dyDescent="0.35"/>
    <row r="45" spans="34:36" x14ac:dyDescent="0.35"/>
    <row r="46" spans="34:36" x14ac:dyDescent="0.35"/>
    <row r="47" spans="34:36" x14ac:dyDescent="0.35">
      <c r="AH47" s="716"/>
      <c r="AI47" s="716"/>
      <c r="AJ47" s="254"/>
    </row>
    <row r="48" spans="34:36" x14ac:dyDescent="0.35"/>
    <row r="49" x14ac:dyDescent="0.35"/>
    <row r="50" x14ac:dyDescent="0.35"/>
  </sheetData>
  <sheetProtection algorithmName="SHA-512" hashValue="HJDmTadJ+AYib9wiCr+e98kQpDXyzejV/l6cJ9nQ7BQoMMsOYLvB0+OoxckB2KKIaoIFO012Gth2y9hyf6rPqg==" saltValue="mYUN3Kerh5zVx5i0Iz14Mw==" spinCount="100000" sheet="1" objects="1" scenarios="1" selectLockedCells="1" selectUnlockedCells="1"/>
  <mergeCells count="6">
    <mergeCell ref="A1:R1"/>
    <mergeCell ref="AM2:AO2"/>
    <mergeCell ref="AH47:AI47"/>
    <mergeCell ref="F3:F17"/>
    <mergeCell ref="I5:L5"/>
    <mergeCell ref="I3:L3"/>
  </mergeCells>
  <conditionalFormatting sqref="AM16:AN16">
    <cfRule type="colorScale" priority="3">
      <colorScale>
        <cfvo type="num" val="0"/>
        <cfvo type="num" val="0.5"/>
        <cfvo type="num" val="1"/>
        <color rgb="FF00B050"/>
        <color rgb="FFFFEB84"/>
        <color theme="5"/>
      </colorScale>
    </cfRule>
  </conditionalFormatting>
  <dataValidations count="1">
    <dataValidation type="list" allowBlank="1" showInputMessage="1" showErrorMessage="1" sqref="P3" xr:uid="{2ED8E653-A364-4254-BD27-FFABB6ACC8BF}">
      <formula1>"0,1,2,3,4,5,6,7,8,9,10"</formula1>
    </dataValidation>
  </dataValidation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" id="{293C3980-E15E-424B-BC08-617525E62B59}">
            <xm:f>COUNTA(B3:B17)-COUNTIFS(B3:B17,"")&lt;&gt;'Tabella Pesi'!$P$17</xm:f>
            <x14:dxf>
              <fill>
                <patternFill>
                  <bgColor rgb="FFFF0000"/>
                </patternFill>
              </fill>
            </x14:dxf>
          </x14:cfRule>
          <xm:sqref>B2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94505A-CE0F-458D-A1CB-7A3A1398520C}">
  <sheetPr codeName="Foglio19">
    <tabColor rgb="FFC00000"/>
  </sheetPr>
  <dimension ref="A1:AS50"/>
  <sheetViews>
    <sheetView showGridLines="0" topLeftCell="B1" zoomScale="60" zoomScaleNormal="60" workbookViewId="0">
      <selection activeCell="B1" sqref="A1:XFD1048576"/>
    </sheetView>
  </sheetViews>
  <sheetFormatPr defaultColWidth="0" defaultRowHeight="15.5" zeroHeight="1" outlineLevelCol="1" x14ac:dyDescent="0.35"/>
  <cols>
    <col min="1" max="1" width="3.81640625" style="22" hidden="1" customWidth="1" outlineLevel="1"/>
    <col min="2" max="2" width="74.81640625" style="18" customWidth="1" collapsed="1"/>
    <col min="3" max="3" width="8.81640625" style="18" customWidth="1"/>
    <col min="4" max="5" width="8.81640625" style="18" hidden="1" customWidth="1" outlineLevel="1"/>
    <col min="6" max="6" width="8.81640625" style="18" customWidth="1" collapsed="1"/>
    <col min="7" max="31" width="8.81640625" style="18" customWidth="1"/>
    <col min="32" max="45" width="8.81640625" customWidth="1"/>
    <col min="46" max="16384" width="8.81640625" hidden="1"/>
  </cols>
  <sheetData>
    <row r="1" spans="1:41" ht="34" customHeight="1" thickBot="1" x14ac:dyDescent="0.4">
      <c r="A1" s="796" t="s">
        <v>46</v>
      </c>
      <c r="B1" s="797"/>
      <c r="C1" s="797"/>
      <c r="D1" s="797"/>
      <c r="E1" s="797"/>
      <c r="F1" s="797"/>
      <c r="G1" s="797"/>
      <c r="H1" s="797"/>
      <c r="I1" s="797"/>
      <c r="J1" s="797"/>
      <c r="K1" s="797"/>
      <c r="L1" s="797"/>
      <c r="M1" s="797"/>
      <c r="N1" s="797"/>
      <c r="O1" s="797"/>
      <c r="P1" s="797"/>
      <c r="Q1" s="797"/>
      <c r="R1" s="798"/>
      <c r="AC1"/>
      <c r="AD1"/>
      <c r="AE1"/>
    </row>
    <row r="2" spans="1:41" ht="16" thickBot="1" x14ac:dyDescent="0.4">
      <c r="A2" s="141"/>
      <c r="B2"/>
      <c r="C2"/>
      <c r="D2"/>
      <c r="E2"/>
      <c r="R2" s="135"/>
      <c r="AC2"/>
      <c r="AD2"/>
      <c r="AE2"/>
      <c r="AM2" s="716"/>
      <c r="AN2" s="716"/>
      <c r="AO2" s="716"/>
    </row>
    <row r="3" spans="1:41" ht="43" customHeight="1" thickBot="1" x14ac:dyDescent="0.4">
      <c r="A3" s="118">
        <f>IF(OR('Tabella Pesi'!Q2=Engine!$G$48,'Tabella Pesi'!Q2=Engine!$H$48,'Tabella Pesi'!Q2=Engine!$J$48),1,0)</f>
        <v>0</v>
      </c>
      <c r="B3" s="131" t="str" cm="1">
        <f t="array" ref="B3">IFERROR(INDEX('Tabella Pesi'!$B$2:$B$16, SMALL(IF(1=$A$3:$A$17, ROW('Tabella Pesi'!$B$2:$B$16)-1,""), ROW()-2)),"")</f>
        <v>I servizi web (social network, cloud computing, posta elettronica, spazio web, ecc.) offerti da terze parti a cui si è registrati sono quelli strettamente necessari.</v>
      </c>
      <c r="C3" s="163">
        <f>IF(B3="","",_xlfn.XLOOKUP(B3,'Val. Maturità'!$B$4:$B$18,'Val. Maturità'!$C$4:$C$18))</f>
        <v>0</v>
      </c>
      <c r="D3" s="175" cm="1">
        <f t="array" ref="D3">IF(B3="","",IF(INDEX('Tabella Pesi'!$A$1:$Q$16,_xlfn.XMATCH(B3,'Tabella Pesi'!$B$1:$B$16),COLUMN('Tabella Pesi'!Q1))=Engine!G$48,Engine!G$49,IF(INDEX('Tabella Pesi'!$A$1:$Q$16,_xlfn.XMATCH(B3,'Tabella Pesi'!$B$1:$B$16),COLUMN('Tabella Pesi'!Q1))=Engine!H$48,Engine!H$49,Engine!$J$49)))</f>
        <v>1</v>
      </c>
      <c r="E3" s="277">
        <f>IF(C3="","",IF(C3=Engine!$B$27,"N/A",IF(C3=Engine!$B$24,1,IF(C3=Engine!$B$25,0.5,0))))</f>
        <v>0</v>
      </c>
      <c r="F3" s="799" cm="1">
        <f t="array" ref="F3">(SUMPRODUCT(--(E3:E17&lt;&gt;"N/A"),E3:E17,D3:D17)/SUMIF(E3:E17,"&lt;&gt;N/A",D3:D17))*10</f>
        <v>0</v>
      </c>
      <c r="H3" s="20"/>
      <c r="I3" s="723" t="s">
        <v>296</v>
      </c>
      <c r="J3" s="724"/>
      <c r="K3" s="724"/>
      <c r="L3" s="725"/>
      <c r="M3" s="115" t="e">
        <f>Engine!$H$58+((Engine!$D$57-Engine!$H$58)/(1+Engine!$D$58*EXP(-Engine!$H$57*(F3-Engine!$F$57)))^(1/Engine!$F$58))</f>
        <v>#VALUE!</v>
      </c>
      <c r="N3"/>
      <c r="O3"/>
      <c r="P3"/>
      <c r="Q3" s="20"/>
      <c r="R3" s="135"/>
      <c r="AC3"/>
      <c r="AD3"/>
      <c r="AE3"/>
    </row>
    <row r="4" spans="1:41" ht="47" thickBot="1" x14ac:dyDescent="0.4">
      <c r="A4" s="119">
        <f>IF(OR('Tabella Pesi'!Q3=Engine!$G$48,'Tabella Pesi'!Q3=Engine!$H$48,'Tabella Pesi'!Q3=Engine!$J$48),1,0)</f>
        <v>1</v>
      </c>
      <c r="B4" s="132" t="str" cm="1">
        <f t="array" ref="B4">IFERROR(INDEX('Tabella Pesi'!$B$2:$B$16, SMALL(IF(1=$A$3:$A$17, ROW('Tabella Pesi'!$B$2:$B$16)-1,""), ROW()-2)),"")</f>
        <v>Sono identificate e rispettate le leggi e/o i regolamenti con rilevanza in tema di cybersecurity che risultino applicabili per l’azienda.</v>
      </c>
      <c r="C4" s="164">
        <f>IF(B4="","",_xlfn.XLOOKUP(B4,'Val. Maturità'!$B$4:$B$18,'Val. Maturità'!$C$4:$C$18))</f>
        <v>0</v>
      </c>
      <c r="D4" s="176" cm="1">
        <f t="array" ref="D4">IF(B4="","",IF(INDEX('Tabella Pesi'!$A$1:$Q$16,_xlfn.XMATCH(B4,'Tabella Pesi'!$B$1:$B$16),COLUMN('Tabella Pesi'!Q2))=Engine!G$48,Engine!G$49,IF(INDEX('Tabella Pesi'!$A$1:$Q$16,_xlfn.XMATCH(B4,'Tabella Pesi'!$B$1:$B$16),COLUMN('Tabella Pesi'!Q2))=Engine!H$48,Engine!H$49,Engine!$J$49)))</f>
        <v>1</v>
      </c>
      <c r="E4" s="278">
        <f>IF(C4="","",IF(C4=Engine!$B$27,"N/A",IF(C4=Engine!$B$24,1,IF(C4=Engine!$B$25,0.5,0))))</f>
        <v>0</v>
      </c>
      <c r="F4" s="800"/>
      <c r="H4" s="20"/>
      <c r="I4" s="20"/>
      <c r="J4" s="20"/>
      <c r="K4" s="20"/>
      <c r="L4" s="20"/>
      <c r="M4" s="20"/>
      <c r="N4" s="20"/>
      <c r="O4" s="20"/>
      <c r="P4" s="20"/>
      <c r="Q4" s="20"/>
      <c r="R4" s="135"/>
      <c r="AC4"/>
      <c r="AD4"/>
      <c r="AE4"/>
    </row>
    <row r="5" spans="1:41" ht="46.5" customHeight="1" thickBot="1" x14ac:dyDescent="0.4">
      <c r="A5" s="119">
        <f>IF(OR('Tabella Pesi'!Q4=Engine!$G$48,'Tabella Pesi'!Q4=Engine!$H$48,'Tabella Pesi'!Q4=Engine!$J$48),1,0)</f>
        <v>0</v>
      </c>
      <c r="B5" s="132" t="str" cm="1">
        <f t="array" ref="B5">IFERROR(INDEX('Tabella Pesi'!$B$2:$B$16, SMALL(IF(1=$A$3:$A$17, ROW('Tabella Pesi'!$B$2:$B$16)-1,""), ROW()-2)),"")</f>
        <v>Tutti i dispositivi che lo consentono sono dotati di software di protezione (antivirus, antimalware, ecc...) regolarmente aggiornato.</v>
      </c>
      <c r="C5" s="164">
        <f>IF(B5="","",_xlfn.XLOOKUP(B5,'Val. Maturità'!$B$4:$B$18,'Val. Maturità'!$C$4:$C$18))</f>
        <v>0</v>
      </c>
      <c r="D5" s="176" cm="1">
        <f t="array" ref="D5">IF(B5="","",IF(INDEX('Tabella Pesi'!$A$1:$Q$16,_xlfn.XMATCH(B5,'Tabella Pesi'!$B$1:$B$16),COLUMN('Tabella Pesi'!Q3))=Engine!G$48,Engine!G$49,IF(INDEX('Tabella Pesi'!$A$1:$Q$16,_xlfn.XMATCH(B5,'Tabella Pesi'!$B$1:$B$16),COLUMN('Tabella Pesi'!Q3))=Engine!H$48,Engine!H$49,Engine!$J$49)))</f>
        <v>1</v>
      </c>
      <c r="E5" s="278">
        <f>IF(C5="","",IF(C5=Engine!$B$27,"N/A",IF(C5=Engine!$B$24,1,IF(C5=Engine!$B$25,0.5,0))))</f>
        <v>0</v>
      </c>
      <c r="F5" s="800"/>
      <c r="H5" s="20"/>
      <c r="I5" s="720" t="s">
        <v>88</v>
      </c>
      <c r="J5" s="721"/>
      <c r="K5" s="721"/>
      <c r="L5" s="722"/>
      <c r="M5" s="255" t="e">
        <f>M3*'Val. Maturità'!Q5</f>
        <v>#VALUE!</v>
      </c>
      <c r="N5" s="20"/>
      <c r="O5"/>
      <c r="P5"/>
      <c r="Q5" s="20"/>
      <c r="R5" s="135"/>
      <c r="AC5"/>
      <c r="AD5"/>
      <c r="AE5"/>
    </row>
    <row r="6" spans="1:41" ht="31" x14ac:dyDescent="0.35">
      <c r="A6" s="119">
        <f>IF(OR('Tabella Pesi'!Q5=Engine!$G$48,'Tabella Pesi'!Q5=Engine!$H$48,'Tabella Pesi'!Q5=Engine!$J$48),1,0)</f>
        <v>0</v>
      </c>
      <c r="B6" s="132" t="str" cm="1">
        <f t="array" ref="B6">IFERROR(INDEX('Tabella Pesi'!$B$2:$B$16, SMALL(IF(1=$A$3:$A$17, ROW('Tabella Pesi'!$B$2:$B$16)-1,""), ROW()-2)),"")</f>
        <v>La configurazione iniziale di tutti i sistemi e dispositivi è svolta da personale esperto, responsabile per la configurazione sicura degli stessi. Le credenziali di accesso di default sono sempre sostituite.</v>
      </c>
      <c r="C6" s="164">
        <f>IF(B6="","",_xlfn.XLOOKUP(B6,'Val. Maturità'!$B$4:$B$18,'Val. Maturità'!$C$4:$C$18))</f>
        <v>0</v>
      </c>
      <c r="D6" s="176" cm="1">
        <f t="array" ref="D6">IF(B6="","",IF(INDEX('Tabella Pesi'!$A$1:$Q$16,_xlfn.XMATCH(B6,'Tabella Pesi'!$B$1:$B$16),COLUMN('Tabella Pesi'!Q4))=Engine!G$48,Engine!G$49,IF(INDEX('Tabella Pesi'!$A$1:$Q$16,_xlfn.XMATCH(B6,'Tabella Pesi'!$B$1:$B$16),COLUMN('Tabella Pesi'!Q4))=Engine!H$48,Engine!H$49,Engine!$J$49)))</f>
        <v>1</v>
      </c>
      <c r="E6" s="278">
        <f>IF(C6="","",IF(C6=Engine!$B$27,"N/A",IF(C6=Engine!$B$24,1,IF(C6=Engine!$B$25,0.5,0))))</f>
        <v>0</v>
      </c>
      <c r="F6" s="800"/>
      <c r="R6" s="135"/>
      <c r="AC6"/>
      <c r="AD6"/>
      <c r="AE6"/>
    </row>
    <row r="7" spans="1:41" ht="46.5" x14ac:dyDescent="0.35">
      <c r="A7" s="119">
        <f>IF(OR('Tabella Pesi'!Q6=Engine!$G$48,'Tabella Pesi'!Q6=Engine!$H$48,'Tabella Pesi'!Q6=Engine!$J$48),1,0)</f>
        <v>1</v>
      </c>
      <c r="B7" s="132" t="str" cm="1">
        <f t="array" ref="B7">IFERROR(INDEX('Tabella Pesi'!$B$2:$B$16, SMALL(IF(1=$A$3:$A$17, ROW('Tabella Pesi'!$B$2:$B$16)-1,""), ROW()-2)),"")</f>
        <v>Le reti e i sistemi sono protetti da accessi non autorizzati attraverso strumenti specifici (es: Firewall e altri dispositivi/software anti-intrusione).</v>
      </c>
      <c r="C7" s="164">
        <f>IF(B7="","",_xlfn.XLOOKUP(B7,'Val. Maturità'!$B$4:$B$18,'Val. Maturità'!$C$4:$C$18))</f>
        <v>0</v>
      </c>
      <c r="D7" s="176" cm="1">
        <f t="array" ref="D7">IF(B7="","",IF(INDEX('Tabella Pesi'!$A$1:$Q$16,_xlfn.XMATCH(B7,'Tabella Pesi'!$B$1:$B$16),COLUMN('Tabella Pesi'!Q5))=Engine!G$48,Engine!G$49,IF(INDEX('Tabella Pesi'!$A$1:$Q$16,_xlfn.XMATCH(B7,'Tabella Pesi'!$B$1:$B$16),COLUMN('Tabella Pesi'!Q5))=Engine!H$48,Engine!H$49,Engine!$J$49)))</f>
        <v>1</v>
      </c>
      <c r="E7" s="278">
        <f>IF(C7="","",IF(C7=Engine!$B$27,"N/A",IF(C7=Engine!$B$24,1,IF(C7=Engine!$B$25,0.5,0))))</f>
        <v>0</v>
      </c>
      <c r="F7" s="800"/>
      <c r="R7" s="135"/>
      <c r="AC7"/>
      <c r="AD7"/>
      <c r="AE7"/>
    </row>
    <row r="8" spans="1:41" x14ac:dyDescent="0.35">
      <c r="A8" s="119">
        <f>IF(OR('Tabella Pesi'!Q7=Engine!$G$48,'Tabella Pesi'!Q7=Engine!$H$48,'Tabella Pesi'!Q7=Engine!$J$48),1,0)</f>
        <v>1</v>
      </c>
      <c r="B8" s="132" t="str" cm="1">
        <f t="array" ref="B8">IFERROR(INDEX('Tabella Pesi'!$B$2:$B$16, SMALL(IF(1=$A$3:$A$17, ROW('Tabella Pesi'!$B$2:$B$16)-1,""), ROW()-2)),"")</f>
        <v/>
      </c>
      <c r="C8" s="164" t="str">
        <f>IF(B8="","",_xlfn.XLOOKUP(B8,'Val. Maturità'!$B$4:$B$18,'Val. Maturità'!$C$4:$C$18))</f>
        <v/>
      </c>
      <c r="D8" s="176" t="str" cm="1">
        <f t="array" ref="D8">IF(B8="","",IF(INDEX('Tabella Pesi'!$A$1:$Q$16,_xlfn.XMATCH(B8,'Tabella Pesi'!$B$1:$B$16),COLUMN('Tabella Pesi'!Q6))=Engine!G$48,Engine!G$49,IF(INDEX('Tabella Pesi'!$A$1:$Q$16,_xlfn.XMATCH(B8,'Tabella Pesi'!$B$1:$B$16),COLUMN('Tabella Pesi'!Q6))=Engine!H$48,Engine!H$49,Engine!$J$49)))</f>
        <v/>
      </c>
      <c r="E8" s="278" t="str">
        <f>IF(C8="","",IF(C8=Engine!$B$27,"N/A",IF(C8=Engine!$B$24,1,IF(C8=Engine!$B$25,0.5,0))))</f>
        <v/>
      </c>
      <c r="F8" s="800"/>
      <c r="R8" s="135"/>
      <c r="AC8"/>
      <c r="AD8"/>
      <c r="AE8"/>
    </row>
    <row r="9" spans="1:41" x14ac:dyDescent="0.35">
      <c r="A9" s="119">
        <f>IF(OR('Tabella Pesi'!Q8=Engine!$G$48,'Tabella Pesi'!Q8=Engine!$H$48,'Tabella Pesi'!Q8=Engine!$J$48),1,0)</f>
        <v>0</v>
      </c>
      <c r="B9" s="132" t="str" cm="1">
        <f t="array" ref="B9">IFERROR(INDEX('Tabella Pesi'!$B$2:$B$16, SMALL(IF(1=$A$3:$A$17, ROW('Tabella Pesi'!$B$2:$B$16)-1,""), ROW()-2)),"")</f>
        <v/>
      </c>
      <c r="C9" s="164" t="str">
        <f>IF(B9="","",_xlfn.XLOOKUP(B9,'Val. Maturità'!$B$4:$B$18,'Val. Maturità'!$C$4:$C$18))</f>
        <v/>
      </c>
      <c r="D9" s="176" t="str" cm="1">
        <f t="array" ref="D9">IF(B9="","",IF(INDEX('Tabella Pesi'!$A$1:$Q$16,_xlfn.XMATCH(B9,'Tabella Pesi'!$B$1:$B$16),COLUMN('Tabella Pesi'!Q7))=Engine!G$48,Engine!G$49,IF(INDEX('Tabella Pesi'!$A$1:$Q$16,_xlfn.XMATCH(B9,'Tabella Pesi'!$B$1:$B$16),COLUMN('Tabella Pesi'!Q7))=Engine!H$48,Engine!H$49,Engine!$J$49)))</f>
        <v/>
      </c>
      <c r="E9" s="278" t="str">
        <f>IF(C9="","",IF(C9=Engine!$B$27,"N/A",IF(C9=Engine!$B$24,1,IF(C9=Engine!$B$25,0.5,0))))</f>
        <v/>
      </c>
      <c r="F9" s="800"/>
      <c r="R9" s="135"/>
      <c r="AC9"/>
      <c r="AD9"/>
      <c r="AE9"/>
    </row>
    <row r="10" spans="1:41" x14ac:dyDescent="0.35">
      <c r="A10" s="119">
        <f>IF(OR('Tabella Pesi'!Q9=Engine!$G$48,'Tabella Pesi'!Q9=Engine!$H$48,'Tabella Pesi'!Q9=Engine!$J$48),1,0)</f>
        <v>0</v>
      </c>
      <c r="B10" s="132" t="str" cm="1">
        <f t="array" ref="B10">IFERROR(INDEX('Tabella Pesi'!$B$2:$B$16, SMALL(IF(1=$A$3:$A$17, ROW('Tabella Pesi'!$B$2:$B$16)-1,""), ROW()-2)),"")</f>
        <v/>
      </c>
      <c r="C10" s="164" t="str">
        <f>IF(B10="","",_xlfn.XLOOKUP(B10,'Val. Maturità'!$B$4:$B$18,'Val. Maturità'!$C$4:$C$18))</f>
        <v/>
      </c>
      <c r="D10" s="176" t="str" cm="1">
        <f t="array" ref="D10">IF(B10="","",IF(INDEX('Tabella Pesi'!$A$1:$Q$16,_xlfn.XMATCH(B10,'Tabella Pesi'!$B$1:$B$16),COLUMN('Tabella Pesi'!Q8))=Engine!G$48,Engine!G$49,IF(INDEX('Tabella Pesi'!$A$1:$Q$16,_xlfn.XMATCH(B10,'Tabella Pesi'!$B$1:$B$16),COLUMN('Tabella Pesi'!Q8))=Engine!H$48,Engine!H$49,Engine!$J$49)))</f>
        <v/>
      </c>
      <c r="E10" s="278" t="str">
        <f>IF(C10="","",IF(C10=Engine!$B$27,"N/A",IF(C10=Engine!$B$24,1,IF(C10=Engine!$B$25,0.5,0))))</f>
        <v/>
      </c>
      <c r="F10" s="800"/>
      <c r="R10" s="135"/>
      <c r="AC10"/>
      <c r="AD10"/>
      <c r="AE10"/>
    </row>
    <row r="11" spans="1:41" x14ac:dyDescent="0.35">
      <c r="A11" s="119">
        <f>IF(OR('Tabella Pesi'!Q10=Engine!$G$48,'Tabella Pesi'!Q10=Engine!$H$48,'Tabella Pesi'!Q10=Engine!$J$48),1,0)</f>
        <v>0</v>
      </c>
      <c r="B11" s="132" t="str" cm="1">
        <f t="array" ref="B11">IFERROR(INDEX('Tabella Pesi'!$B$2:$B$16, SMALL(IF(1=$A$3:$A$17, ROW('Tabella Pesi'!$B$2:$B$16)-1,""), ROW()-2)),"")</f>
        <v/>
      </c>
      <c r="C11" s="164" t="str">
        <f>IF(B11="","",_xlfn.XLOOKUP(B11,'Val. Maturità'!$B$4:$B$18,'Val. Maturità'!$C$4:$C$18))</f>
        <v/>
      </c>
      <c r="D11" s="176" t="str" cm="1">
        <f t="array" ref="D11">IF(B11="","",IF(INDEX('Tabella Pesi'!$A$1:$Q$16,_xlfn.XMATCH(B11,'Tabella Pesi'!$B$1:$B$16),COLUMN('Tabella Pesi'!Q9))=Engine!G$48,Engine!G$49,IF(INDEX('Tabella Pesi'!$A$1:$Q$16,_xlfn.XMATCH(B11,'Tabella Pesi'!$B$1:$B$16),COLUMN('Tabella Pesi'!Q9))=Engine!H$48,Engine!H$49,Engine!$J$49)))</f>
        <v/>
      </c>
      <c r="E11" s="278" t="str">
        <f>IF(C11="","",IF(C11=Engine!$B$27,"N/A",IF(C11=Engine!$B$24,1,IF(C11=Engine!$B$25,0.5,0))))</f>
        <v/>
      </c>
      <c r="F11" s="800"/>
      <c r="R11" s="135"/>
      <c r="AC11"/>
      <c r="AD11"/>
      <c r="AE11"/>
    </row>
    <row r="12" spans="1:41" ht="24.5" customHeight="1" x14ac:dyDescent="0.35">
      <c r="A12" s="119">
        <f>IF(OR('Tabella Pesi'!Q11=Engine!$G$48,'Tabella Pesi'!Q11=Engine!$H$48,'Tabella Pesi'!Q11=Engine!$J$48),1,0)</f>
        <v>0</v>
      </c>
      <c r="B12" s="132" t="str" cm="1">
        <f t="array" ref="B12">IFERROR(INDEX('Tabella Pesi'!$B$2:$B$16, SMALL(IF(1=$A$3:$A$17, ROW('Tabella Pesi'!$B$2:$B$16)-1,""), ROW()-2)),"")</f>
        <v/>
      </c>
      <c r="C12" s="164" t="str">
        <f>IF(B12="","",_xlfn.XLOOKUP(B12,'Val. Maturità'!$B$4:$B$18,'Val. Maturità'!$C$4:$C$18))</f>
        <v/>
      </c>
      <c r="D12" s="176" t="str" cm="1">
        <f t="array" ref="D12">IF(B12="","",IF(INDEX('Tabella Pesi'!$A$1:$Q$16,_xlfn.XMATCH(B12,'Tabella Pesi'!$B$1:$B$16),COLUMN('Tabella Pesi'!Q10))=Engine!G$48,Engine!G$49,IF(INDEX('Tabella Pesi'!$A$1:$Q$16,_xlfn.XMATCH(B12,'Tabella Pesi'!$B$1:$B$16),COLUMN('Tabella Pesi'!Q10))=Engine!H$48,Engine!H$49,Engine!$J$49)))</f>
        <v/>
      </c>
      <c r="E12" s="278" t="str">
        <f>IF(C12="","",IF(C12=Engine!$B$27,"N/A",IF(C12=Engine!$B$24,1,IF(C12=Engine!$B$25,0.5,0))))</f>
        <v/>
      </c>
      <c r="F12" s="800"/>
      <c r="R12" s="135"/>
      <c r="AC12"/>
      <c r="AD12"/>
      <c r="AE12"/>
    </row>
    <row r="13" spans="1:41" ht="24.5" customHeight="1" x14ac:dyDescent="0.35">
      <c r="A13" s="119">
        <f>IF(OR('Tabella Pesi'!Q12=Engine!$G$48,'Tabella Pesi'!Q12=Engine!$H$48,'Tabella Pesi'!Q12=Engine!$J$48),1,0)</f>
        <v>1</v>
      </c>
      <c r="B13" s="132" t="str" cm="1">
        <f t="array" ref="B13">IFERROR(INDEX('Tabella Pesi'!$B$2:$B$16, SMALL(IF(1=$A$3:$A$17, ROW('Tabella Pesi'!$B$2:$B$16)-1,""), ROW()-2)),"")</f>
        <v/>
      </c>
      <c r="C13" s="164" t="str">
        <f>IF(B13="","",_xlfn.XLOOKUP(B13,'Val. Maturità'!$B$4:$B$18,'Val. Maturità'!$C$4:$C$18))</f>
        <v/>
      </c>
      <c r="D13" s="176" t="str" cm="1">
        <f t="array" ref="D13">IF(B13="","",IF(INDEX('Tabella Pesi'!$A$1:$Q$16,_xlfn.XMATCH(B13,'Tabella Pesi'!$B$1:$B$16),COLUMN('Tabella Pesi'!Q11))=Engine!G$48,Engine!G$49,IF(INDEX('Tabella Pesi'!$A$1:$Q$16,_xlfn.XMATCH(B13,'Tabella Pesi'!$B$1:$B$16),COLUMN('Tabella Pesi'!Q11))=Engine!H$48,Engine!H$49,Engine!$J$49)))</f>
        <v/>
      </c>
      <c r="E13" s="278" t="str">
        <f>IF(C13="","",IF(C13=Engine!$B$27,"N/A",IF(C13=Engine!$B$24,1,IF(C13=Engine!$B$25,0.5,0))))</f>
        <v/>
      </c>
      <c r="F13" s="800"/>
      <c r="R13" s="135"/>
      <c r="AC13"/>
      <c r="AD13"/>
      <c r="AE13"/>
    </row>
    <row r="14" spans="1:41" ht="24.5" customHeight="1" x14ac:dyDescent="0.35">
      <c r="A14" s="119">
        <f>IF(OR('Tabella Pesi'!Q13=Engine!$G$48,'Tabella Pesi'!Q13=Engine!$H$48,'Tabella Pesi'!Q13=Engine!$J$48),1,0)</f>
        <v>0</v>
      </c>
      <c r="B14" s="132" t="str" cm="1">
        <f t="array" ref="B14">IFERROR(INDEX('Tabella Pesi'!$B$2:$B$16, SMALL(IF(1=$A$3:$A$17, ROW('Tabella Pesi'!$B$2:$B$16)-1,""), ROW()-2)),"")</f>
        <v/>
      </c>
      <c r="C14" s="164" t="str">
        <f>IF(B14="","",_xlfn.XLOOKUP(B14,'Val. Maturità'!$B$4:$B$18,'Val. Maturità'!$C$4:$C$18))</f>
        <v/>
      </c>
      <c r="D14" s="176" t="str" cm="1">
        <f t="array" ref="D14">IF(B14="","",IF(INDEX('Tabella Pesi'!$A$1:$Q$16,_xlfn.XMATCH(B14,'Tabella Pesi'!$B$1:$B$16),COLUMN('Tabella Pesi'!Q12))=Engine!G$48,Engine!G$49,IF(INDEX('Tabella Pesi'!$A$1:$Q$16,_xlfn.XMATCH(B14,'Tabella Pesi'!$B$1:$B$16),COLUMN('Tabella Pesi'!Q12))=Engine!H$48,Engine!H$49,Engine!$J$49)))</f>
        <v/>
      </c>
      <c r="E14" s="278" t="str">
        <f>IF(C14="","",IF(C14=Engine!$B$27,"N/A",IF(C14=Engine!$B$24,1,IF(C14=Engine!$B$25,0.5,0))))</f>
        <v/>
      </c>
      <c r="F14" s="800"/>
      <c r="R14" s="135"/>
      <c r="AC14"/>
      <c r="AD14"/>
      <c r="AE14"/>
    </row>
    <row r="15" spans="1:41" ht="24.5" customHeight="1" x14ac:dyDescent="0.35">
      <c r="A15" s="119">
        <f>IF(OR('Tabella Pesi'!Q14=Engine!$G$48,'Tabella Pesi'!Q14=Engine!$H$48,'Tabella Pesi'!Q14=Engine!$J$48),1,0)</f>
        <v>1</v>
      </c>
      <c r="B15" s="132" t="str" cm="1">
        <f t="array" ref="B15">IFERROR(INDEX('Tabella Pesi'!$B$2:$B$16, SMALL(IF(1=$A$3:$A$17, ROW('Tabella Pesi'!$B$2:$B$16)-1,""), ROW()-2)),"")</f>
        <v/>
      </c>
      <c r="C15" s="164" t="str">
        <f>IF(B15="","",_xlfn.XLOOKUP(B15,'Val. Maturità'!$B$4:$B$18,'Val. Maturità'!$C$4:$C$18))</f>
        <v/>
      </c>
      <c r="D15" s="176" t="str" cm="1">
        <f t="array" ref="D15">IF(B15="","",IF(INDEX('Tabella Pesi'!$A$1:$Q$16,_xlfn.XMATCH(B15,'Tabella Pesi'!$B$1:$B$16),COLUMN('Tabella Pesi'!Q13))=Engine!G$48,Engine!G$49,IF(INDEX('Tabella Pesi'!$A$1:$Q$16,_xlfn.XMATCH(B15,'Tabella Pesi'!$B$1:$B$16),COLUMN('Tabella Pesi'!Q13))=Engine!H$48,Engine!H$49,Engine!$J$49)))</f>
        <v/>
      </c>
      <c r="E15" s="278" t="str">
        <f>IF(C15="","",IF(C15=Engine!$B$27,"N/A",IF(C15=Engine!$B$24,1,IF(C15=Engine!$B$25,0.5,0))))</f>
        <v/>
      </c>
      <c r="F15" s="800"/>
      <c r="R15" s="135"/>
      <c r="AC15"/>
      <c r="AD15"/>
      <c r="AE15"/>
    </row>
    <row r="16" spans="1:41" ht="24.5" customHeight="1" x14ac:dyDescent="0.35">
      <c r="A16" s="119">
        <f>IF(OR('Tabella Pesi'!Q15=Engine!$G$48,'Tabella Pesi'!Q15=Engine!$H$48,'Tabella Pesi'!Q15=Engine!$J$48),1,0)</f>
        <v>0</v>
      </c>
      <c r="B16" s="132" t="str" cm="1">
        <f t="array" ref="B16">IFERROR(INDEX('Tabella Pesi'!$B$2:$B$16, SMALL(IF(1=$A$3:$A$17, ROW('Tabella Pesi'!$B$2:$B$16)-1,""), ROW()-2)),"")</f>
        <v/>
      </c>
      <c r="C16" s="164" t="str">
        <f>IF(B16="","",_xlfn.XLOOKUP(B16,'Val. Maturità'!$B$4:$B$18,'Val. Maturità'!$C$4:$C$18))</f>
        <v/>
      </c>
      <c r="D16" s="176" t="str" cm="1">
        <f t="array" ref="D16">IF(B16="","",IF(INDEX('Tabella Pesi'!$A$1:$Q$16,_xlfn.XMATCH(B16,'Tabella Pesi'!$B$1:$B$16),COLUMN('Tabella Pesi'!Q14))=Engine!G$48,Engine!G$49,IF(INDEX('Tabella Pesi'!$A$1:$Q$16,_xlfn.XMATCH(B16,'Tabella Pesi'!$B$1:$B$16),COLUMN('Tabella Pesi'!Q14))=Engine!H$48,Engine!H$49,Engine!$J$49)))</f>
        <v/>
      </c>
      <c r="E16" s="278" t="str">
        <f>IF(C16="","",IF(C16=Engine!$B$27,"N/A",IF(C16=Engine!$B$24,1,IF(C16=Engine!$B$25,0.5,0))))</f>
        <v/>
      </c>
      <c r="F16" s="800"/>
      <c r="R16" s="135"/>
      <c r="AC16"/>
      <c r="AD16"/>
      <c r="AE16"/>
      <c r="AL16" s="254"/>
    </row>
    <row r="17" spans="1:31" ht="16" thickBot="1" x14ac:dyDescent="0.4">
      <c r="A17" s="120">
        <f>IF(OR('Tabella Pesi'!Q16=Engine!$G$48,'Tabella Pesi'!Q16=Engine!$H$48,'Tabella Pesi'!Q16=Engine!$J$48),1,0)</f>
        <v>0</v>
      </c>
      <c r="B17" s="133" t="str" cm="1">
        <f t="array" ref="B17">IFERROR(INDEX('Tabella Pesi'!$B$2:$B$16, SMALL(IF(1=$A$3:$A$17, ROW('Tabella Pesi'!$B$2:$B$16)-1,""), ROW()-2)),"")</f>
        <v/>
      </c>
      <c r="C17" s="165" t="str">
        <f>IF(B17="","",_xlfn.XLOOKUP(B17,'Val. Maturità'!$B$4:$B$18,'Val. Maturità'!$C$4:$C$18))</f>
        <v/>
      </c>
      <c r="D17" s="177" t="str" cm="1">
        <f t="array" ref="D17">IF(B17="","",IF(INDEX('Tabella Pesi'!$A$1:$Q$16,_xlfn.XMATCH(B17,'Tabella Pesi'!$B$1:$B$16),COLUMN('Tabella Pesi'!Q15))=Engine!G$48,Engine!G$49,IF(INDEX('Tabella Pesi'!$A$1:$Q$16,_xlfn.XMATCH(B17,'Tabella Pesi'!$B$1:$B$16),COLUMN('Tabella Pesi'!Q15))=Engine!H$48,Engine!H$49,Engine!$J$49)))</f>
        <v/>
      </c>
      <c r="E17" s="279" t="str">
        <f>IF(C17="","",IF(C17=Engine!$B$27,"N/A",IF(C17=Engine!$B$24,1,IF(C17=Engine!$B$25,0.5,0))))</f>
        <v/>
      </c>
      <c r="F17" s="801"/>
      <c r="R17" s="135"/>
      <c r="AC17"/>
      <c r="AD17"/>
      <c r="AE17"/>
    </row>
    <row r="18" spans="1:31" ht="16" thickBot="1" x14ac:dyDescent="0.4">
      <c r="A18" s="136"/>
      <c r="B18" s="137"/>
      <c r="C18" s="137"/>
      <c r="D18" s="137"/>
      <c r="E18" s="137"/>
      <c r="F18" s="137"/>
      <c r="G18" s="137"/>
      <c r="H18" s="137"/>
      <c r="I18" s="137"/>
      <c r="J18" s="137"/>
      <c r="K18" s="137"/>
      <c r="L18" s="137"/>
      <c r="M18" s="137"/>
      <c r="N18" s="137"/>
      <c r="O18" s="137"/>
      <c r="P18" s="137"/>
      <c r="Q18" s="137"/>
      <c r="R18" s="139"/>
      <c r="AC18"/>
      <c r="AD18"/>
      <c r="AE18"/>
    </row>
    <row r="19" spans="1:31" x14ac:dyDescent="0.35"/>
    <row r="20" spans="1:31" x14ac:dyDescent="0.35"/>
    <row r="21" spans="1:31" x14ac:dyDescent="0.35"/>
    <row r="22" spans="1:31" x14ac:dyDescent="0.35"/>
    <row r="23" spans="1:31" x14ac:dyDescent="0.35"/>
    <row r="24" spans="1:31" x14ac:dyDescent="0.35"/>
    <row r="25" spans="1:31" x14ac:dyDescent="0.35"/>
    <row r="26" spans="1:31" x14ac:dyDescent="0.35"/>
    <row r="27" spans="1:31" x14ac:dyDescent="0.35"/>
    <row r="28" spans="1:31" x14ac:dyDescent="0.35"/>
    <row r="29" spans="1:31" x14ac:dyDescent="0.35"/>
    <row r="30" spans="1:31" x14ac:dyDescent="0.35"/>
    <row r="31" spans="1:31" x14ac:dyDescent="0.35"/>
    <row r="32" spans="1:31" x14ac:dyDescent="0.35"/>
    <row r="33" spans="34:36" x14ac:dyDescent="0.35"/>
    <row r="34" spans="34:36" x14ac:dyDescent="0.35"/>
    <row r="35" spans="34:36" x14ac:dyDescent="0.35"/>
    <row r="36" spans="34:36" x14ac:dyDescent="0.35"/>
    <row r="37" spans="34:36" x14ac:dyDescent="0.35"/>
    <row r="38" spans="34:36" x14ac:dyDescent="0.35"/>
    <row r="39" spans="34:36" x14ac:dyDescent="0.35"/>
    <row r="40" spans="34:36" x14ac:dyDescent="0.35"/>
    <row r="41" spans="34:36" x14ac:dyDescent="0.35"/>
    <row r="42" spans="34:36" x14ac:dyDescent="0.35"/>
    <row r="43" spans="34:36" x14ac:dyDescent="0.35"/>
    <row r="44" spans="34:36" x14ac:dyDescent="0.35"/>
    <row r="45" spans="34:36" x14ac:dyDescent="0.35"/>
    <row r="46" spans="34:36" x14ac:dyDescent="0.35"/>
    <row r="47" spans="34:36" x14ac:dyDescent="0.35">
      <c r="AH47" s="716"/>
      <c r="AI47" s="716"/>
      <c r="AJ47" s="254"/>
    </row>
    <row r="48" spans="34:36" x14ac:dyDescent="0.35"/>
    <row r="49" x14ac:dyDescent="0.35"/>
    <row r="50" x14ac:dyDescent="0.35"/>
  </sheetData>
  <sheetProtection algorithmName="SHA-512" hashValue="NRhs7tDh3Hw9nFehL5trHk9cROAPQGU4QuG/JbYpE0L3IYUE/kpYCzvwPADDCPvVVsbLZ0gryCIn2iFLwOlCzg==" saltValue="CCs5p/1gZ+KHqMlgM4MnIg==" spinCount="100000" sheet="1" objects="1" scenarios="1" selectLockedCells="1" selectUnlockedCells="1"/>
  <mergeCells count="6">
    <mergeCell ref="A1:R1"/>
    <mergeCell ref="AM2:AO2"/>
    <mergeCell ref="AH47:AI47"/>
    <mergeCell ref="F3:F17"/>
    <mergeCell ref="I5:L5"/>
    <mergeCell ref="I3:L3"/>
  </mergeCells>
  <conditionalFormatting sqref="AM16:AN16">
    <cfRule type="colorScale" priority="3">
      <colorScale>
        <cfvo type="num" val="0"/>
        <cfvo type="num" val="0.5"/>
        <cfvo type="num" val="1"/>
        <color rgb="FF00B050"/>
        <color rgb="FFFFEB84"/>
        <color theme="5"/>
      </colorScale>
    </cfRule>
  </conditionalFormatting>
  <dataValidations count="1">
    <dataValidation type="list" allowBlank="1" showInputMessage="1" showErrorMessage="1" sqref="P3" xr:uid="{A270E55F-9BC1-4381-8E3F-DA65910A7495}">
      <formula1>"0,1,2,3,4,5,6,7,8,9,10"</formula1>
    </dataValidation>
  </dataValidation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" id="{3B531424-2356-4802-9C0B-0B43D861D448}">
            <xm:f>COUNTA(B3:B17)-COUNTIFS(B3:B17,"")&lt;&gt;'Tabella Pesi'!$Q$17</xm:f>
            <x14:dxf>
              <fill>
                <patternFill>
                  <bgColor rgb="FFFF0000"/>
                </patternFill>
              </fill>
            </x14:dxf>
          </x14:cfRule>
          <xm:sqref>B2</xm:sqref>
        </x14:conditionalFormatting>
      </x14:conditionalFormatting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188C25-73D4-46A3-9845-7D8D086C0EAF}">
  <sheetPr codeName="Foglio20"/>
  <dimension ref="A1:N22"/>
  <sheetViews>
    <sheetView showGridLines="0" zoomScale="80" zoomScaleNormal="80" workbookViewId="0">
      <selection activeCell="F5" sqref="F5"/>
    </sheetView>
  </sheetViews>
  <sheetFormatPr defaultColWidth="0" defaultRowHeight="23.5" zeroHeight="1" x14ac:dyDescent="0.35"/>
  <cols>
    <col min="1" max="1" width="28.08984375" style="360" customWidth="1"/>
    <col min="2" max="2" width="28.6328125" style="354" customWidth="1"/>
    <col min="3" max="3" width="8.08984375" style="354" customWidth="1"/>
    <col min="4" max="4" width="19.81640625" style="354" customWidth="1"/>
    <col min="5" max="5" width="19.81640625" style="354" hidden="1" customWidth="1"/>
    <col min="6" max="6" width="25.36328125" style="354" customWidth="1"/>
    <col min="7" max="7" width="6.6328125" style="354" customWidth="1"/>
    <col min="8" max="8" width="15.1796875" style="354" customWidth="1"/>
    <col min="9" max="9" width="12.36328125" style="354" customWidth="1"/>
    <col min="10" max="10" width="10.90625" style="354" customWidth="1"/>
    <col min="11" max="11" width="8.36328125" style="354" customWidth="1"/>
    <col min="12" max="12" width="25.1796875" style="354" customWidth="1"/>
    <col min="13" max="13" width="8.81640625" style="354" customWidth="1"/>
    <col min="14" max="14" width="4.453125" style="354" customWidth="1"/>
    <col min="15" max="16384" width="8.81640625" style="354" hidden="1"/>
  </cols>
  <sheetData>
    <row r="1" spans="1:13" ht="32" customHeight="1" thickBot="1" x14ac:dyDescent="0.4">
      <c r="A1" s="811" t="s">
        <v>341</v>
      </c>
      <c r="B1" s="812"/>
      <c r="C1" s="812"/>
      <c r="D1" s="812"/>
      <c r="E1" s="812"/>
      <c r="F1" s="812"/>
      <c r="G1" s="812"/>
      <c r="H1" s="812"/>
      <c r="I1" s="812"/>
      <c r="J1" s="812"/>
      <c r="K1" s="812"/>
      <c r="L1" s="812"/>
      <c r="M1" s="813"/>
    </row>
    <row r="2" spans="1:13" ht="24" thickBot="1" x14ac:dyDescent="0.4">
      <c r="A2" s="635"/>
      <c r="B2" s="636"/>
      <c r="C2" s="636"/>
      <c r="D2" s="636"/>
      <c r="E2" s="636"/>
      <c r="F2" s="636"/>
      <c r="G2" s="636"/>
      <c r="H2" s="636"/>
      <c r="I2" s="636"/>
      <c r="J2" s="636"/>
      <c r="K2" s="636"/>
      <c r="L2" s="636"/>
      <c r="M2" s="637"/>
    </row>
    <row r="3" spans="1:13" ht="26.5" customHeight="1" thickBot="1" x14ac:dyDescent="0.4">
      <c r="A3" s="802" t="s">
        <v>90</v>
      </c>
      <c r="B3" s="804" t="s">
        <v>297</v>
      </c>
      <c r="C3" s="638"/>
      <c r="D3" s="808" t="s">
        <v>301</v>
      </c>
      <c r="E3" s="809"/>
      <c r="F3" s="810"/>
      <c r="G3" s="636"/>
      <c r="H3" s="814" t="s">
        <v>332</v>
      </c>
      <c r="I3" s="815"/>
      <c r="J3" s="816"/>
      <c r="K3" s="637"/>
      <c r="L3" s="806" t="s">
        <v>344</v>
      </c>
      <c r="M3" s="638"/>
    </row>
    <row r="4" spans="1:13" ht="46.5" customHeight="1" thickBot="1" x14ac:dyDescent="0.4">
      <c r="A4" s="803"/>
      <c r="B4" s="805"/>
      <c r="C4" s="636" t="s">
        <v>298</v>
      </c>
      <c r="D4" s="361" t="s">
        <v>325</v>
      </c>
      <c r="E4" s="362" t="s">
        <v>326</v>
      </c>
      <c r="F4" s="363" t="s">
        <v>320</v>
      </c>
      <c r="G4" s="636"/>
      <c r="H4" s="817"/>
      <c r="I4" s="818"/>
      <c r="J4" s="819"/>
      <c r="K4" s="636"/>
      <c r="L4" s="807"/>
      <c r="M4" s="637"/>
    </row>
    <row r="5" spans="1:13" ht="45" customHeight="1" thickBot="1" x14ac:dyDescent="0.4">
      <c r="A5" s="639" t="str">
        <f>'Tabella Pesi'!C1</f>
        <v>Malware</v>
      </c>
      <c r="B5" s="640" t="str">
        <f>Engine!I61</f>
        <v>Selezionare tipo di organizzazione</v>
      </c>
      <c r="C5" s="636"/>
      <c r="D5" s="641">
        <v>365</v>
      </c>
      <c r="E5" s="642">
        <v>1</v>
      </c>
      <c r="F5" s="643"/>
      <c r="G5" s="636"/>
      <c r="H5" s="636"/>
      <c r="I5" s="636"/>
      <c r="J5" s="636"/>
      <c r="K5" s="636"/>
      <c r="L5" s="644"/>
      <c r="M5" s="637"/>
    </row>
    <row r="6" spans="1:13" ht="45" customHeight="1" x14ac:dyDescent="0.35">
      <c r="A6" s="645" t="str">
        <f>'Tabella Pesi'!D1</f>
        <v>Web based attacks</v>
      </c>
      <c r="B6" s="646" t="str">
        <f>Engine!I62</f>
        <v>Selezionare tipo di organizzazione</v>
      </c>
      <c r="C6" s="636"/>
      <c r="D6" s="636"/>
      <c r="E6" s="636"/>
      <c r="F6" s="647"/>
      <c r="G6" s="636"/>
      <c r="H6" s="636"/>
      <c r="I6" s="636"/>
      <c r="J6" s="636"/>
      <c r="K6" s="636"/>
      <c r="L6" s="648"/>
      <c r="M6" s="637"/>
    </row>
    <row r="7" spans="1:13" ht="45" customHeight="1" x14ac:dyDescent="0.35">
      <c r="A7" s="649" t="str">
        <f>'Tabella Pesi'!E1</f>
        <v>Phishing</v>
      </c>
      <c r="B7" s="646" t="str">
        <f>Engine!I63</f>
        <v>Selezionare tipo di organizzazione</v>
      </c>
      <c r="C7" s="636"/>
      <c r="D7" s="636"/>
      <c r="E7" s="636"/>
      <c r="F7" s="647"/>
      <c r="G7" s="636"/>
      <c r="H7" s="636"/>
      <c r="I7" s="636"/>
      <c r="J7" s="636"/>
      <c r="K7" s="636"/>
      <c r="L7" s="648"/>
      <c r="M7" s="637"/>
    </row>
    <row r="8" spans="1:13" ht="45" customHeight="1" x14ac:dyDescent="0.35">
      <c r="A8" s="649" t="str">
        <f>'Tabella Pesi'!F1</f>
        <v>Web application attacks</v>
      </c>
      <c r="B8" s="646" t="str">
        <f>Engine!I64</f>
        <v>Selezionare tipo di organizzazione</v>
      </c>
      <c r="C8" s="636"/>
      <c r="D8" s="636"/>
      <c r="E8" s="636"/>
      <c r="F8" s="647"/>
      <c r="G8" s="636"/>
      <c r="H8" s="636"/>
      <c r="I8" s="636"/>
      <c r="J8" s="636"/>
      <c r="K8" s="636"/>
      <c r="L8" s="648"/>
      <c r="M8" s="637"/>
    </row>
    <row r="9" spans="1:13" ht="45" customHeight="1" x14ac:dyDescent="0.35">
      <c r="A9" s="649" t="str">
        <f>'Tabella Pesi'!G1</f>
        <v>Spam</v>
      </c>
      <c r="B9" s="646" t="str">
        <f>Engine!I65</f>
        <v>Selezionare tipo di organizzazione</v>
      </c>
      <c r="C9" s="636"/>
      <c r="D9" s="636"/>
      <c r="E9" s="636"/>
      <c r="F9" s="647"/>
      <c r="G9" s="636"/>
      <c r="H9" s="636"/>
      <c r="I9" s="636"/>
      <c r="J9" s="636"/>
      <c r="K9" s="636"/>
      <c r="L9" s="648"/>
      <c r="M9" s="637"/>
    </row>
    <row r="10" spans="1:13" ht="45" customHeight="1" x14ac:dyDescent="0.35">
      <c r="A10" s="649" t="str">
        <f>'Tabella Pesi'!H1</f>
        <v>DDoS</v>
      </c>
      <c r="B10" s="646" t="str">
        <f>Engine!I66</f>
        <v>Selezionare tipo di organizzazione</v>
      </c>
      <c r="C10" s="636"/>
      <c r="D10" s="636"/>
      <c r="E10" s="636"/>
      <c r="F10" s="647"/>
      <c r="G10" s="636"/>
      <c r="H10" s="636"/>
      <c r="I10" s="636"/>
      <c r="J10" s="636"/>
      <c r="K10" s="636"/>
      <c r="L10" s="648"/>
      <c r="M10" s="637"/>
    </row>
    <row r="11" spans="1:13" ht="45" customHeight="1" x14ac:dyDescent="0.35">
      <c r="A11" s="649" t="str">
        <f>'Tabella Pesi'!I1</f>
        <v>Identity theft</v>
      </c>
      <c r="B11" s="646" t="str">
        <f>Engine!I67</f>
        <v>Selezionare tipo di organizzazione</v>
      </c>
      <c r="C11" s="636"/>
      <c r="D11" s="636"/>
      <c r="E11" s="636"/>
      <c r="F11" s="647"/>
      <c r="G11" s="636"/>
      <c r="H11" s="636"/>
      <c r="I11" s="636"/>
      <c r="J11" s="636"/>
      <c r="K11" s="636"/>
      <c r="L11" s="648"/>
      <c r="M11" s="637"/>
    </row>
    <row r="12" spans="1:13" ht="45" customHeight="1" x14ac:dyDescent="0.35">
      <c r="A12" s="649" t="str">
        <f>'Tabella Pesi'!J1</f>
        <v>Data breach</v>
      </c>
      <c r="B12" s="646" t="str">
        <f>Engine!I68</f>
        <v>Selezionare tipo di organizzazione</v>
      </c>
      <c r="C12" s="636"/>
      <c r="D12" s="636"/>
      <c r="E12" s="636"/>
      <c r="F12" s="647"/>
      <c r="G12" s="636"/>
      <c r="H12" s="636"/>
      <c r="I12" s="636"/>
      <c r="J12" s="636"/>
      <c r="K12" s="636"/>
      <c r="L12" s="648"/>
      <c r="M12" s="637"/>
    </row>
    <row r="13" spans="1:13" ht="45" customHeight="1" x14ac:dyDescent="0.35">
      <c r="A13" s="649" t="str">
        <f>'Tabella Pesi'!K1</f>
        <v>Insider threat</v>
      </c>
      <c r="B13" s="646" t="str">
        <f>Engine!I69</f>
        <v>Selezionare tipo di organizzazione</v>
      </c>
      <c r="C13" s="636"/>
      <c r="D13" s="636"/>
      <c r="E13" s="636"/>
      <c r="F13" s="647"/>
      <c r="G13" s="636"/>
      <c r="H13" s="636"/>
      <c r="I13" s="636"/>
      <c r="J13" s="636"/>
      <c r="K13" s="636"/>
      <c r="L13" s="648"/>
      <c r="M13" s="637"/>
    </row>
    <row r="14" spans="1:13" ht="45" customHeight="1" x14ac:dyDescent="0.35">
      <c r="A14" s="649" t="str">
        <f>'Tabella Pesi'!L1</f>
        <v>Botnets</v>
      </c>
      <c r="B14" s="646" t="str">
        <f>Engine!I70</f>
        <v>Selezionare tipo di organizzazione</v>
      </c>
      <c r="C14" s="636"/>
      <c r="D14" s="636"/>
      <c r="E14" s="636"/>
      <c r="F14" s="647"/>
      <c r="G14" s="636"/>
      <c r="H14" s="636"/>
      <c r="I14" s="636"/>
      <c r="J14" s="636"/>
      <c r="K14" s="636"/>
      <c r="L14" s="648"/>
      <c r="M14" s="637"/>
    </row>
    <row r="15" spans="1:13" ht="45" customHeight="1" x14ac:dyDescent="0.35">
      <c r="A15" s="649" t="str">
        <f>'Tabella Pesi'!M1</f>
        <v>Physical manipulation damage theft and loss</v>
      </c>
      <c r="B15" s="646" t="str">
        <f>Engine!I71</f>
        <v>Selezionare tipo di organizzazione</v>
      </c>
      <c r="C15" s="636"/>
      <c r="D15" s="636"/>
      <c r="E15" s="636"/>
      <c r="F15" s="647"/>
      <c r="G15" s="636"/>
      <c r="H15" s="636"/>
      <c r="I15" s="636"/>
      <c r="J15" s="636"/>
      <c r="K15" s="636"/>
      <c r="L15" s="648"/>
      <c r="M15" s="637"/>
    </row>
    <row r="16" spans="1:13" ht="45" customHeight="1" x14ac:dyDescent="0.35">
      <c r="A16" s="649" t="str">
        <f>'Tabella Pesi'!N1</f>
        <v>Information leakage</v>
      </c>
      <c r="B16" s="646" t="str">
        <f>Engine!I72</f>
        <v>Selezionare tipo di organizzazione</v>
      </c>
      <c r="C16" s="636"/>
      <c r="D16" s="636"/>
      <c r="E16" s="636"/>
      <c r="F16" s="647"/>
      <c r="G16" s="636"/>
      <c r="H16" s="636"/>
      <c r="I16" s="636"/>
      <c r="J16" s="636"/>
      <c r="K16" s="636"/>
      <c r="L16" s="648"/>
      <c r="M16" s="637"/>
    </row>
    <row r="17" spans="1:13" ht="45" customHeight="1" x14ac:dyDescent="0.35">
      <c r="A17" s="649" t="str">
        <f>'Tabella Pesi'!O1</f>
        <v>Ransomware</v>
      </c>
      <c r="B17" s="646" t="str">
        <f>Engine!I73</f>
        <v>Selezionare tipo di organizzazione</v>
      </c>
      <c r="C17" s="636"/>
      <c r="D17" s="636"/>
      <c r="E17" s="636"/>
      <c r="F17" s="647"/>
      <c r="G17" s="636"/>
      <c r="H17" s="636"/>
      <c r="I17" s="636"/>
      <c r="J17" s="636"/>
      <c r="K17" s="636"/>
      <c r="L17" s="648"/>
      <c r="M17" s="637"/>
    </row>
    <row r="18" spans="1:13" ht="45" customHeight="1" x14ac:dyDescent="0.35">
      <c r="A18" s="649" t="str">
        <f>'Tabella Pesi'!P1</f>
        <v>Cyberespionage</v>
      </c>
      <c r="B18" s="646" t="str">
        <f>Engine!I74</f>
        <v>Selezionare tipo di organizzazione</v>
      </c>
      <c r="C18" s="636"/>
      <c r="D18" s="636"/>
      <c r="E18" s="636"/>
      <c r="F18" s="647"/>
      <c r="G18" s="636"/>
      <c r="H18" s="636"/>
      <c r="I18" s="636"/>
      <c r="J18" s="636"/>
      <c r="K18" s="636"/>
      <c r="L18" s="648"/>
      <c r="M18" s="637"/>
    </row>
    <row r="19" spans="1:13" ht="45" customHeight="1" thickBot="1" x14ac:dyDescent="0.4">
      <c r="A19" s="650" t="str">
        <f>'Tabella Pesi'!Q1</f>
        <v>Cryptojacking</v>
      </c>
      <c r="B19" s="651" t="str">
        <f>Engine!I75</f>
        <v>Selezionare tipo di organizzazione</v>
      </c>
      <c r="C19" s="636"/>
      <c r="D19" s="636"/>
      <c r="E19" s="636"/>
      <c r="F19" s="652"/>
      <c r="G19" s="636"/>
      <c r="H19" s="636"/>
      <c r="I19" s="636"/>
      <c r="J19" s="636"/>
      <c r="K19" s="636"/>
      <c r="L19" s="653"/>
      <c r="M19" s="637"/>
    </row>
    <row r="20" spans="1:13" x14ac:dyDescent="0.35">
      <c r="A20" s="355"/>
      <c r="M20" s="356"/>
    </row>
    <row r="21" spans="1:13" ht="24" thickBot="1" x14ac:dyDescent="0.4">
      <c r="A21" s="357"/>
      <c r="B21" s="358"/>
      <c r="C21" s="358"/>
      <c r="D21" s="358"/>
      <c r="E21" s="358"/>
      <c r="F21" s="358"/>
      <c r="G21" s="358"/>
      <c r="H21" s="358"/>
      <c r="I21" s="358"/>
      <c r="J21" s="358"/>
      <c r="K21" s="358"/>
      <c r="L21" s="358"/>
      <c r="M21" s="359"/>
    </row>
    <row r="22" spans="1:13" x14ac:dyDescent="0.35"/>
  </sheetData>
  <sheetProtection algorithmName="SHA-512" hashValue="GDmLWhAhC/vbfax4G1lM4fbg2GvFLdNGsPQYba0NLAhprqEhbjINDCdU01uUfj+U9uVlH+qKUcBGbeHMprkioA==" saltValue="VwZgzb9F28tmqdVefshH7g==" spinCount="100000" sheet="1" objects="1" scenarios="1" selectLockedCells="1"/>
  <mergeCells count="6">
    <mergeCell ref="A3:A4"/>
    <mergeCell ref="B3:B4"/>
    <mergeCell ref="L3:L4"/>
    <mergeCell ref="D3:F3"/>
    <mergeCell ref="A1:M1"/>
    <mergeCell ref="H3:J4"/>
  </mergeCells>
  <dataValidations count="1">
    <dataValidation type="whole" allowBlank="1" showInputMessage="1" showErrorMessage="1" errorTitle="Attenzione!" error="Il valore immesso deve essere compreso tra 0 e il valore indicato in &quot;periodo di tempo&quot; (estremi inclusi)." sqref="F5:F19" xr:uid="{C69F9646-7AB3-4223-B5BE-B193D2BE139A}">
      <formula1>0</formula1>
      <formula2>$D$5</formula2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649" r:id="rId4" name="Button 1">
              <controlPr defaultSize="0" print="0" autoFill="0" autoPict="0" macro="[0]!magic_htma_def">
                <anchor moveWithCells="1" sizeWithCells="1">
                  <from>
                    <xdr:col>7</xdr:col>
                    <xdr:colOff>355600</xdr:colOff>
                    <xdr:row>4</xdr:row>
                    <xdr:rowOff>63500</xdr:rowOff>
                  </from>
                  <to>
                    <xdr:col>9</xdr:col>
                    <xdr:colOff>419100</xdr:colOff>
                    <xdr:row>5</xdr:row>
                    <xdr:rowOff>387350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4D95AF-9656-4300-A246-8A825E68CFAC}">
  <sheetPr codeName="Foglio25"/>
  <dimension ref="A1:D1"/>
  <sheetViews>
    <sheetView showGridLines="0" zoomScaleNormal="100" workbookViewId="0">
      <selection activeCell="C2" sqref="C2"/>
    </sheetView>
  </sheetViews>
  <sheetFormatPr defaultColWidth="0" defaultRowHeight="21" x14ac:dyDescent="0.35"/>
  <cols>
    <col min="1" max="1" width="30.54296875" style="656" customWidth="1"/>
    <col min="2" max="2" width="30.1796875" style="567" customWidth="1"/>
    <col min="3" max="3" width="33.54296875" style="568" customWidth="1"/>
    <col min="4" max="4" width="34.1796875" style="568" customWidth="1"/>
    <col min="5" max="16384" width="8.81640625" style="654" hidden="1"/>
  </cols>
  <sheetData>
    <row r="1" spans="1:4" ht="48.5" customHeight="1" thickBot="1" x14ac:dyDescent="0.4">
      <c r="A1" s="655" t="s">
        <v>90</v>
      </c>
      <c r="B1" s="564" t="s">
        <v>338</v>
      </c>
      <c r="C1" s="565" t="s">
        <v>345</v>
      </c>
      <c r="D1" s="566" t="s">
        <v>346</v>
      </c>
    </row>
  </sheetData>
  <sheetProtection algorithmName="SHA-512" hashValue="n/taipKBz1G4LYRqjJGtWx1jJUWL+LwSn2AWpBsy04TSbdpiNfK9B1lDG7FzETWw5QmIhxCmIRl4ZjqU36pi5w==" saltValue="dCpL1VYwPylCiBDF/JKrJA==" spinCount="100000" sheet="1" objects="1" scenarios="1" selectLockedCells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FB3809-0315-4B87-9C9D-ED3A06B05282}">
  <sheetPr codeName="Foglio22"/>
  <dimension ref="A1:E16"/>
  <sheetViews>
    <sheetView showGridLines="0" zoomScale="90" zoomScaleNormal="90" workbookViewId="0">
      <selection activeCell="D1" sqref="A1:D1"/>
    </sheetView>
  </sheetViews>
  <sheetFormatPr defaultColWidth="0" defaultRowHeight="14.5" zeroHeight="1" x14ac:dyDescent="0.35"/>
  <cols>
    <col min="1" max="1" width="36" customWidth="1"/>
    <col min="2" max="2" width="33.81640625" customWidth="1"/>
    <col min="3" max="4" width="24.81640625" customWidth="1"/>
    <col min="5" max="5" width="3.90625" customWidth="1"/>
    <col min="6" max="16384" width="8.81640625" hidden="1"/>
  </cols>
  <sheetData>
    <row r="1" spans="1:4" ht="47.5" thickBot="1" x14ac:dyDescent="0.4">
      <c r="A1" s="365" t="s">
        <v>90</v>
      </c>
      <c r="B1" s="364" t="s">
        <v>338</v>
      </c>
      <c r="C1" s="368" t="s">
        <v>339</v>
      </c>
      <c r="D1" s="369" t="s">
        <v>340</v>
      </c>
    </row>
    <row r="2" spans="1:4" ht="21" x14ac:dyDescent="0.35">
      <c r="A2" s="545" t="str">
        <f>'Tabella Pesi'!C1</f>
        <v>Malware</v>
      </c>
      <c r="B2" s="546" t="str">
        <f>IF(OR(Cover!$D$6="",Cover!$D$6=Engine!$L$23,'Indice Complessità'!$D$9="Incompleto",'Val. Maturità'!$M$8="Incompleto"),"Completa la valutazione",'Calcolo Probabilità'!L5)</f>
        <v>Completa la valutazione</v>
      </c>
      <c r="C2" s="547">
        <v>1000</v>
      </c>
      <c r="D2" s="548">
        <v>2500000</v>
      </c>
    </row>
    <row r="3" spans="1:4" ht="21" x14ac:dyDescent="0.35">
      <c r="A3" s="549" t="str">
        <f>'Tabella Pesi'!D1</f>
        <v>Web based attacks</v>
      </c>
      <c r="B3" s="550" t="str">
        <f>IF(OR(Cover!$D$6="",Cover!$D$6=Engine!$L$23,'Indice Complessità'!$D$9="Incompleto",'Val. Maturità'!$M$8="Incompleto"),"Completa la valutazione",'Calcolo Probabilità'!L6)</f>
        <v>Completa la valutazione</v>
      </c>
      <c r="C3" s="551">
        <v>100000</v>
      </c>
      <c r="D3" s="552">
        <v>2000000</v>
      </c>
    </row>
    <row r="4" spans="1:4" ht="21" x14ac:dyDescent="0.35">
      <c r="A4" s="549" t="str">
        <f>'Tabella Pesi'!E1</f>
        <v>Phishing</v>
      </c>
      <c r="B4" s="550" t="str">
        <f>IF(OR(Cover!$D$6="",Cover!$D$6=Engine!$L$23,'Indice Complessità'!$D$9="Incompleto",'Val. Maturità'!$M$8="Incompleto"),"Completa la valutazione",'Calcolo Probabilità'!L7)</f>
        <v>Completa la valutazione</v>
      </c>
      <c r="C4" s="551">
        <v>1000</v>
      </c>
      <c r="D4" s="552">
        <v>1600000</v>
      </c>
    </row>
    <row r="5" spans="1:4" ht="21" x14ac:dyDescent="0.35">
      <c r="A5" s="549" t="str">
        <f>'Tabella Pesi'!F1</f>
        <v>Web application attacks</v>
      </c>
      <c r="B5" s="550" t="str">
        <f>IF(OR(Cover!$D$6="",Cover!$D$6=Engine!$L$23,'Indice Complessità'!$D$9="Incompleto",'Val. Maturità'!$M$8="Incompleto"),"Completa la valutazione",'Calcolo Probabilità'!L8)</f>
        <v>Completa la valutazione</v>
      </c>
      <c r="C5" s="551">
        <v>1000</v>
      </c>
      <c r="D5" s="552">
        <v>500000</v>
      </c>
    </row>
    <row r="6" spans="1:4" ht="21" x14ac:dyDescent="0.35">
      <c r="A6" s="549" t="str">
        <f>'Tabella Pesi'!G1</f>
        <v>Spam</v>
      </c>
      <c r="B6" s="550" t="str">
        <f>IF(OR(Cover!$D$6="",Cover!$D$6=Engine!$L$23,'Indice Complessità'!$D$9="Incompleto",'Val. Maturità'!$M$8="Incompleto"),"Completa la valutazione",'Calcolo Probabilità'!L9)</f>
        <v>Completa la valutazione</v>
      </c>
      <c r="C6" s="551">
        <v>1000</v>
      </c>
      <c r="D6" s="552">
        <v>1600000</v>
      </c>
    </row>
    <row r="7" spans="1:4" ht="21" x14ac:dyDescent="0.35">
      <c r="A7" s="549" t="str">
        <f>'Tabella Pesi'!H1</f>
        <v>DDoS</v>
      </c>
      <c r="B7" s="550" t="str">
        <f>IF(OR(Cover!$D$6="",Cover!$D$6=Engine!$L$23,'Indice Complessità'!$D$9="Incompleto",'Val. Maturità'!$M$8="Incompleto"),"Completa la valutazione",'Calcolo Probabilità'!L10)</f>
        <v>Completa la valutazione</v>
      </c>
      <c r="C7" s="551">
        <v>50000</v>
      </c>
      <c r="D7" s="552">
        <v>2000000</v>
      </c>
    </row>
    <row r="8" spans="1:4" ht="21" x14ac:dyDescent="0.35">
      <c r="A8" s="549" t="str">
        <f>'Tabella Pesi'!I1</f>
        <v>Identity theft</v>
      </c>
      <c r="B8" s="550" t="str">
        <f>IF(OR(Cover!$D$6="",Cover!$D$6=Engine!$L$23,'Indice Complessità'!$D$9="Incompleto",'Val. Maturità'!$M$8="Incompleto"),"Completa la valutazione",'Calcolo Probabilità'!L11)</f>
        <v>Completa la valutazione</v>
      </c>
      <c r="C8" s="551">
        <v>1000</v>
      </c>
      <c r="D8" s="552">
        <v>100000</v>
      </c>
    </row>
    <row r="9" spans="1:4" ht="21" x14ac:dyDescent="0.35">
      <c r="A9" s="549" t="str">
        <f>'Tabella Pesi'!J1</f>
        <v>Data breach</v>
      </c>
      <c r="B9" s="550" t="str">
        <f>IF(OR(Cover!$D$6="",Cover!$D$6=Engine!$L$23,'Indice Complessità'!$D$9="Incompleto",'Val. Maturità'!$M$8="Incompleto"),"Completa la valutazione",'Calcolo Probabilità'!L12)</f>
        <v>Completa la valutazione</v>
      </c>
      <c r="C9" s="551">
        <v>10000</v>
      </c>
      <c r="D9" s="552">
        <v>4000000</v>
      </c>
    </row>
    <row r="10" spans="1:4" ht="21" x14ac:dyDescent="0.35">
      <c r="A10" s="549" t="str">
        <f>'Tabella Pesi'!K1</f>
        <v>Insider threat</v>
      </c>
      <c r="B10" s="550" t="str">
        <f>IF(OR(Cover!$D$6="",Cover!$D$6=Engine!$L$23,'Indice Complessità'!$D$9="Incompleto",'Val. Maturità'!$M$8="Incompleto"),"Completa la valutazione",'Calcolo Probabilità'!L13)</f>
        <v>Completa la valutazione</v>
      </c>
      <c r="C10" s="551">
        <v>10000</v>
      </c>
      <c r="D10" s="552">
        <v>700000</v>
      </c>
    </row>
    <row r="11" spans="1:4" ht="21" x14ac:dyDescent="0.35">
      <c r="A11" s="549" t="str">
        <f>'Tabella Pesi'!L1</f>
        <v>Botnets</v>
      </c>
      <c r="B11" s="550" t="str">
        <f>IF(OR(Cover!$D$6="",Cover!$D$6=Engine!$L$23,'Indice Complessità'!$D$9="Incompleto",'Val. Maturità'!$M$8="Incompleto"),"Completa la valutazione",'Calcolo Probabilità'!L14)</f>
        <v>Completa la valutazione</v>
      </c>
      <c r="C11" s="551">
        <v>50000</v>
      </c>
      <c r="D11" s="552">
        <v>2000000</v>
      </c>
    </row>
    <row r="12" spans="1:4" ht="42" x14ac:dyDescent="0.35">
      <c r="A12" s="549" t="str">
        <f>'Tabella Pesi'!M1</f>
        <v>Physical manipulation damage theft and loss</v>
      </c>
      <c r="B12" s="550" t="str">
        <f>IF(OR(Cover!$D$6="",Cover!$D$6=Engine!$L$23,'Indice Complessità'!$D$9="Incompleto",'Val. Maturità'!$M$8="Incompleto"),"Completa la valutazione",'Calcolo Probabilità'!L15)</f>
        <v>Completa la valutazione</v>
      </c>
      <c r="C12" s="551">
        <v>1000</v>
      </c>
      <c r="D12" s="552">
        <v>60000</v>
      </c>
    </row>
    <row r="13" spans="1:4" ht="21" x14ac:dyDescent="0.35">
      <c r="A13" s="549" t="str">
        <f>'Tabella Pesi'!N1</f>
        <v>Information leakage</v>
      </c>
      <c r="B13" s="550" t="str">
        <f>IF(OR(Cover!$D$6="",Cover!$D$6=Engine!$L$23,'Indice Complessità'!$D$9="Incompleto",'Val. Maturità'!$M$8="Incompleto"),"Completa la valutazione",'Calcolo Probabilità'!L16)</f>
        <v>Completa la valutazione</v>
      </c>
      <c r="C13" s="551">
        <v>10000</v>
      </c>
      <c r="D13" s="552">
        <v>4000000</v>
      </c>
    </row>
    <row r="14" spans="1:4" ht="21" x14ac:dyDescent="0.35">
      <c r="A14" s="549" t="str">
        <f>'Tabella Pesi'!O1</f>
        <v>Ransomware</v>
      </c>
      <c r="B14" s="550" t="str">
        <f>IF(OR(Cover!$D$6="",Cover!$D$6=Engine!$L$23,'Indice Complessità'!$D$9="Incompleto",'Val. Maturità'!$M$8="Incompleto"),"Completa la valutazione",'Calcolo Probabilità'!L17)</f>
        <v>Completa la valutazione</v>
      </c>
      <c r="C14" s="551">
        <v>300</v>
      </c>
      <c r="D14" s="552">
        <v>170000</v>
      </c>
    </row>
    <row r="15" spans="1:4" ht="21" x14ac:dyDescent="0.35">
      <c r="A15" s="549" t="str">
        <f>'Tabella Pesi'!P1</f>
        <v>Cyberespionage</v>
      </c>
      <c r="B15" s="550" t="str">
        <f>IF(OR(Cover!$D$6="",Cover!$D$6=Engine!$L$23,'Indice Complessità'!$D$9="Incompleto",'Val. Maturità'!$M$8="Incompleto"),"Completa la valutazione",'Calcolo Probabilità'!L18)</f>
        <v>Completa la valutazione</v>
      </c>
      <c r="C15" s="551">
        <v>1000</v>
      </c>
      <c r="D15" s="552">
        <v>70000</v>
      </c>
    </row>
    <row r="16" spans="1:4" ht="21.5" thickBot="1" x14ac:dyDescent="0.4">
      <c r="A16" s="553" t="str">
        <f>'Tabella Pesi'!Q1</f>
        <v>Cryptojacking</v>
      </c>
      <c r="B16" s="554" t="str">
        <f>IF(OR(Cover!$D$6="",Cover!$D$6=Engine!$L$23,'Indice Complessità'!$D$9="Incompleto",'Val. Maturità'!$M$8="Incompleto"),"Completa la valutazione",'Calcolo Probabilità'!L19)</f>
        <v>Completa la valutazione</v>
      </c>
      <c r="C16" s="555">
        <v>1000</v>
      </c>
      <c r="D16" s="556">
        <v>10000</v>
      </c>
    </row>
  </sheetData>
  <sheetProtection selectLockedCells="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C0A107-FAA7-4341-A506-414CFC787814}">
  <sheetPr codeName="Foglio23"/>
  <dimension ref="A1:L19"/>
  <sheetViews>
    <sheetView showGridLines="0" zoomScale="80" zoomScaleNormal="80" workbookViewId="0">
      <selection activeCell="J6" sqref="J6"/>
    </sheetView>
  </sheetViews>
  <sheetFormatPr defaultColWidth="0" defaultRowHeight="23.5" zeroHeight="1" x14ac:dyDescent="0.55000000000000004"/>
  <cols>
    <col min="1" max="1" width="25.1796875" style="288" customWidth="1"/>
    <col min="2" max="2" width="28.1796875" style="288" customWidth="1"/>
    <col min="3" max="3" width="9.6328125" style="288" customWidth="1"/>
    <col min="4" max="4" width="22.08984375" style="288" customWidth="1"/>
    <col min="5" max="5" width="17.81640625" style="288" customWidth="1"/>
    <col min="6" max="6" width="6.54296875" style="288" customWidth="1"/>
    <col min="7" max="7" width="21.6328125" style="288" customWidth="1"/>
    <col min="8" max="8" width="21.90625" style="288" customWidth="1"/>
    <col min="9" max="9" width="22.453125" style="288" customWidth="1"/>
    <col min="10" max="10" width="18.08984375" style="288" customWidth="1"/>
    <col min="11" max="11" width="5.453125" style="288" customWidth="1"/>
    <col min="12" max="12" width="4.1796875" style="288" customWidth="1"/>
    <col min="13" max="16384" width="8.81640625" style="288" hidden="1"/>
  </cols>
  <sheetData>
    <row r="1" spans="1:11" ht="31.5" customHeight="1" thickBot="1" x14ac:dyDescent="0.6">
      <c r="A1" s="820" t="s">
        <v>334</v>
      </c>
      <c r="B1" s="821"/>
      <c r="C1" s="821"/>
      <c r="D1" s="821"/>
      <c r="E1" s="821"/>
      <c r="F1" s="821"/>
      <c r="G1" s="821"/>
      <c r="H1" s="821"/>
      <c r="I1" s="821"/>
      <c r="J1" s="821"/>
      <c r="K1" s="822"/>
    </row>
    <row r="2" spans="1:11" ht="24" thickBot="1" x14ac:dyDescent="0.6">
      <c r="A2" s="370"/>
      <c r="K2" s="366"/>
    </row>
    <row r="3" spans="1:11" ht="31.5" customHeight="1" thickBot="1" x14ac:dyDescent="0.6">
      <c r="A3" s="829" t="s">
        <v>308</v>
      </c>
      <c r="B3" s="830"/>
      <c r="G3" s="831" t="s">
        <v>301</v>
      </c>
      <c r="H3" s="832"/>
      <c r="I3" s="832"/>
      <c r="J3" s="833"/>
      <c r="K3" s="366"/>
    </row>
    <row r="4" spans="1:11" ht="51.5" customHeight="1" thickBot="1" x14ac:dyDescent="0.6">
      <c r="A4" s="834" t="s">
        <v>309</v>
      </c>
      <c r="B4" s="835"/>
      <c r="D4" s="557" t="s">
        <v>310</v>
      </c>
      <c r="E4" s="558" t="str">
        <f>'Val. Maturità'!M8</f>
        <v>Incompleto</v>
      </c>
      <c r="G4" s="361" t="s">
        <v>325</v>
      </c>
      <c r="H4" s="362" t="s">
        <v>326</v>
      </c>
      <c r="I4" s="363" t="s">
        <v>320</v>
      </c>
      <c r="J4" s="559" t="s">
        <v>327</v>
      </c>
      <c r="K4" s="366"/>
    </row>
    <row r="5" spans="1:11" ht="39" customHeight="1" thickBot="1" x14ac:dyDescent="0.6">
      <c r="A5" s="836"/>
      <c r="B5" s="837"/>
      <c r="G5" s="560">
        <v>365</v>
      </c>
      <c r="H5" s="561">
        <v>1</v>
      </c>
      <c r="I5" s="562"/>
      <c r="J5" s="563"/>
      <c r="K5" s="366"/>
    </row>
    <row r="6" spans="1:11" x14ac:dyDescent="0.55000000000000004">
      <c r="A6" s="836"/>
      <c r="B6" s="837"/>
      <c r="K6" s="366"/>
    </row>
    <row r="7" spans="1:11" ht="24" thickBot="1" x14ac:dyDescent="0.6">
      <c r="A7" s="836"/>
      <c r="B7" s="837"/>
      <c r="K7" s="366"/>
    </row>
    <row r="8" spans="1:11" ht="55" customHeight="1" thickBot="1" x14ac:dyDescent="0.6">
      <c r="A8" s="836"/>
      <c r="B8" s="837"/>
      <c r="D8" s="823" t="s">
        <v>328</v>
      </c>
      <c r="E8" s="824"/>
      <c r="F8" s="825"/>
      <c r="K8" s="366"/>
    </row>
    <row r="9" spans="1:11" ht="23.5" customHeight="1" thickBot="1" x14ac:dyDescent="0.6">
      <c r="A9" s="836"/>
      <c r="B9" s="837"/>
      <c r="D9" s="826"/>
      <c r="E9" s="827"/>
      <c r="F9" s="828"/>
      <c r="H9" s="840" t="s">
        <v>300</v>
      </c>
      <c r="I9" s="841"/>
      <c r="J9" s="844"/>
      <c r="K9" s="366"/>
    </row>
    <row r="10" spans="1:11" ht="24" thickBot="1" x14ac:dyDescent="0.6">
      <c r="A10" s="836"/>
      <c r="B10" s="837"/>
      <c r="H10" s="842"/>
      <c r="I10" s="843"/>
      <c r="J10" s="845"/>
      <c r="K10" s="366"/>
    </row>
    <row r="11" spans="1:11" x14ac:dyDescent="0.55000000000000004">
      <c r="A11" s="836"/>
      <c r="B11" s="837"/>
      <c r="H11" s="846" t="s">
        <v>319</v>
      </c>
      <c r="I11" s="847"/>
      <c r="J11" s="850" t="str">
        <f>IF(J9=0,"",J9/G5)</f>
        <v/>
      </c>
      <c r="K11" s="366"/>
    </row>
    <row r="12" spans="1:11" ht="14.5" customHeight="1" thickBot="1" x14ac:dyDescent="0.6">
      <c r="A12" s="836"/>
      <c r="B12" s="837"/>
      <c r="H12" s="848"/>
      <c r="I12" s="849"/>
      <c r="J12" s="851"/>
      <c r="K12" s="366"/>
    </row>
    <row r="13" spans="1:11" ht="27.5" customHeight="1" x14ac:dyDescent="0.55000000000000004">
      <c r="A13" s="836"/>
      <c r="B13" s="837"/>
      <c r="K13" s="366"/>
    </row>
    <row r="14" spans="1:11" ht="17.5" customHeight="1" x14ac:dyDescent="0.55000000000000004">
      <c r="A14" s="836"/>
      <c r="B14" s="837"/>
      <c r="K14" s="366"/>
    </row>
    <row r="15" spans="1:11" ht="21" customHeight="1" x14ac:dyDescent="0.55000000000000004">
      <c r="A15" s="836"/>
      <c r="B15" s="837"/>
      <c r="K15" s="366"/>
    </row>
    <row r="16" spans="1:11" x14ac:dyDescent="0.55000000000000004">
      <c r="A16" s="836"/>
      <c r="B16" s="837"/>
      <c r="K16" s="366"/>
    </row>
    <row r="17" spans="1:11" ht="24" thickBot="1" x14ac:dyDescent="0.6">
      <c r="A17" s="838"/>
      <c r="B17" s="839"/>
      <c r="K17" s="366"/>
    </row>
    <row r="18" spans="1:11" ht="24" thickBot="1" x14ac:dyDescent="0.6">
      <c r="A18" s="371"/>
      <c r="B18" s="289"/>
      <c r="C18" s="289"/>
      <c r="D18" s="289"/>
      <c r="E18" s="289"/>
      <c r="F18" s="289"/>
      <c r="G18" s="289"/>
      <c r="H18" s="289"/>
      <c r="I18" s="289"/>
      <c r="J18" s="289"/>
      <c r="K18" s="367"/>
    </row>
    <row r="19" spans="1:11" x14ac:dyDescent="0.55000000000000004"/>
  </sheetData>
  <sheetProtection selectLockedCells="1"/>
  <mergeCells count="9">
    <mergeCell ref="A1:K1"/>
    <mergeCell ref="D8:F9"/>
    <mergeCell ref="A3:B3"/>
    <mergeCell ref="G3:J3"/>
    <mergeCell ref="A4:B17"/>
    <mergeCell ref="H9:I10"/>
    <mergeCell ref="J9:J10"/>
    <mergeCell ref="H11:I12"/>
    <mergeCell ref="J11:J1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3" name="Button 1">
              <controlPr defaultSize="0" print="0" autoFill="0" autoPict="0" macro="[0]!magic_fair_def">
                <anchor moveWithCells="1" sizeWithCells="1">
                  <from>
                    <xdr:col>3</xdr:col>
                    <xdr:colOff>254000</xdr:colOff>
                    <xdr:row>9</xdr:row>
                    <xdr:rowOff>152400</xdr:rowOff>
                  </from>
                  <to>
                    <xdr:col>5</xdr:col>
                    <xdr:colOff>165100</xdr:colOff>
                    <xdr:row>14</xdr:row>
                    <xdr:rowOff>120650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03FFC5-001D-4750-95D4-03D3883F7555}">
  <sheetPr codeName="Foglio21"/>
  <dimension ref="A1:Q103"/>
  <sheetViews>
    <sheetView topLeftCell="A58" workbookViewId="0">
      <selection activeCell="I75" sqref="I75"/>
    </sheetView>
  </sheetViews>
  <sheetFormatPr defaultColWidth="8.81640625" defaultRowHeight="14.5" x14ac:dyDescent="0.35"/>
  <cols>
    <col min="1" max="1" width="8.81640625" style="1"/>
    <col min="2" max="2" width="12.1796875" style="1" customWidth="1"/>
    <col min="3" max="3" width="13.36328125" style="1" customWidth="1"/>
    <col min="4" max="4" width="12.54296875" style="1" customWidth="1"/>
    <col min="5" max="5" width="13.54296875" style="1" customWidth="1"/>
    <col min="6" max="6" width="27.81640625" style="1" customWidth="1"/>
    <col min="7" max="7" width="13.81640625" style="1" customWidth="1"/>
    <col min="8" max="8" width="11.36328125" style="1" bestFit="1" customWidth="1"/>
    <col min="9" max="9" width="31.36328125" style="1" customWidth="1"/>
    <col min="10" max="10" width="11.36328125" style="1" bestFit="1" customWidth="1"/>
    <col min="11" max="11" width="12.1796875" style="1" customWidth="1"/>
    <col min="12" max="12" width="13.36328125" style="1" customWidth="1"/>
    <col min="13" max="13" width="12.54296875" style="1" customWidth="1"/>
    <col min="14" max="14" width="13.54296875" style="1" customWidth="1"/>
    <col min="15" max="15" width="17.1796875" style="1" customWidth="1"/>
    <col min="16" max="16" width="13.81640625" style="1" customWidth="1"/>
    <col min="17" max="16384" width="8.81640625" style="1"/>
  </cols>
  <sheetData>
    <row r="1" spans="1:17" ht="15" thickBot="1" x14ac:dyDescent="0.4"/>
    <row r="2" spans="1:17" ht="15" thickBot="1" x14ac:dyDescent="0.4">
      <c r="A2" s="257"/>
      <c r="B2" s="258"/>
      <c r="C2" s="258"/>
      <c r="D2" s="258"/>
      <c r="E2" s="258"/>
      <c r="F2" s="258"/>
      <c r="G2" s="258"/>
      <c r="H2" s="270" t="s">
        <v>299</v>
      </c>
      <c r="J2" s="239"/>
      <c r="K2" s="240"/>
      <c r="L2" s="240"/>
      <c r="M2" s="240"/>
      <c r="N2" s="240"/>
      <c r="O2" s="240"/>
      <c r="P2" s="240"/>
      <c r="Q2" s="287" t="s">
        <v>311</v>
      </c>
    </row>
    <row r="3" spans="1:17" ht="29" x14ac:dyDescent="0.35">
      <c r="A3" s="259"/>
      <c r="B3" s="265" t="s">
        <v>292</v>
      </c>
      <c r="C3" s="265" t="s">
        <v>102</v>
      </c>
      <c r="D3" s="265" t="s">
        <v>57</v>
      </c>
      <c r="E3" s="265" t="s">
        <v>293</v>
      </c>
      <c r="F3" s="265" t="s">
        <v>294</v>
      </c>
      <c r="G3" s="265" t="s">
        <v>295</v>
      </c>
      <c r="H3" s="261"/>
      <c r="J3" s="241"/>
      <c r="K3" s="285" t="s">
        <v>292</v>
      </c>
      <c r="L3" s="285" t="s">
        <v>102</v>
      </c>
      <c r="M3" s="285" t="s">
        <v>57</v>
      </c>
      <c r="N3" s="285" t="s">
        <v>293</v>
      </c>
      <c r="O3" s="285" t="s">
        <v>294</v>
      </c>
      <c r="P3" s="285" t="s">
        <v>295</v>
      </c>
      <c r="Q3" s="243"/>
    </row>
    <row r="4" spans="1:17" ht="28" customHeight="1" x14ac:dyDescent="0.35">
      <c r="A4" s="259"/>
      <c r="B4" s="266" t="str">
        <f>IF('Val. Maturità'!$M$8="Incompleto","Incompleto",'1'!$F$3)</f>
        <v>Incompleto</v>
      </c>
      <c r="C4" s="266" t="str">
        <f>'Indice Complessità'!D10</f>
        <v>Incompleto</v>
      </c>
      <c r="D4" s="265" t="str">
        <f>IF(OR(Cover!$D$6=0,Cover!D6=Engine!L23),"Incompleto",'Val. Maturità'!Q5)</f>
        <v>Incompleto</v>
      </c>
      <c r="E4" s="265">
        <f>IF(ISBLANK('Calcolo Probabilità'!$D$5),"",'Calcolo Probabilità'!$D$5)</f>
        <v>365</v>
      </c>
      <c r="F4" s="265" t="str">
        <f>IF(COUNTBLANK('Calcolo Probabilità'!$F$5:$F$19)&lt;&gt;0,"",'Calcolo Probabilità'!F5)</f>
        <v/>
      </c>
      <c r="G4" s="265">
        <v>1</v>
      </c>
      <c r="H4" s="261"/>
      <c r="J4" s="241"/>
      <c r="K4" s="286" t="str">
        <f>'Val. Maturità'!M8</f>
        <v>Incompleto</v>
      </c>
      <c r="L4" s="286" t="str">
        <f>'Indice Complessità'!D10</f>
        <v>Incompleto</v>
      </c>
      <c r="M4" s="285" t="str">
        <f>'Val. Maturità'!Q5</f>
        <v/>
      </c>
      <c r="N4" s="285">
        <f>FAIR!G5</f>
        <v>365</v>
      </c>
      <c r="O4" s="285">
        <f>FAIR!I5</f>
        <v>0</v>
      </c>
      <c r="P4" s="285">
        <f>FAIR!J5</f>
        <v>0</v>
      </c>
      <c r="Q4" s="243"/>
    </row>
    <row r="5" spans="1:17" ht="28" customHeight="1" thickBot="1" x14ac:dyDescent="0.4">
      <c r="A5" s="259"/>
      <c r="B5" s="266" t="str">
        <f>IF('Val. Maturità'!$M$8="Incompleto","Incompleto",'2'!$F$3)</f>
        <v>Incompleto</v>
      </c>
      <c r="C5" s="260"/>
      <c r="D5" s="260"/>
      <c r="E5" s="260"/>
      <c r="F5" s="265" t="str">
        <f>IF(COUNTBLANK('Calcolo Probabilità'!$F$5:$F$19)&lt;&gt;0,"",'Calcolo Probabilità'!F6)</f>
        <v/>
      </c>
      <c r="G5" s="260"/>
      <c r="H5" s="261"/>
      <c r="J5" s="251"/>
      <c r="K5" s="252"/>
      <c r="L5" s="252"/>
      <c r="M5" s="252"/>
      <c r="N5" s="252"/>
      <c r="O5" s="252"/>
      <c r="P5" s="252"/>
      <c r="Q5" s="253"/>
    </row>
    <row r="6" spans="1:17" ht="28" customHeight="1" x14ac:dyDescent="0.35">
      <c r="A6" s="259"/>
      <c r="B6" s="266" t="str">
        <f>IF('Val. Maturità'!$M$8="Incompleto","Incompleto",'3'!$F$3)</f>
        <v>Incompleto</v>
      </c>
      <c r="C6" s="260"/>
      <c r="D6" s="260"/>
      <c r="E6" s="260"/>
      <c r="F6" s="265" t="str">
        <f>IF(COUNTBLANK('Calcolo Probabilità'!$F$5:$F$19)&lt;&gt;0,"",'Calcolo Probabilità'!F7)</f>
        <v/>
      </c>
      <c r="G6" s="260"/>
      <c r="H6" s="261"/>
    </row>
    <row r="7" spans="1:17" ht="28" customHeight="1" x14ac:dyDescent="0.35">
      <c r="A7" s="259"/>
      <c r="B7" s="266" t="str">
        <f>IF('Val. Maturità'!$M$8="Incompleto","Incompleto",'4'!$F$3)</f>
        <v>Incompleto</v>
      </c>
      <c r="C7" s="260"/>
      <c r="D7" s="260"/>
      <c r="E7" s="260"/>
      <c r="F7" s="265" t="str">
        <f>IF(COUNTBLANK('Calcolo Probabilità'!$F$5:$F$19)&lt;&gt;0,"",'Calcolo Probabilità'!F8)</f>
        <v/>
      </c>
      <c r="G7" s="260"/>
      <c r="H7" s="261"/>
    </row>
    <row r="8" spans="1:17" ht="28" customHeight="1" x14ac:dyDescent="0.35">
      <c r="A8" s="259"/>
      <c r="B8" s="266" t="str">
        <f>IF('Val. Maturità'!$M$8="Incompleto","Incompleto",'5'!$F$3)</f>
        <v>Incompleto</v>
      </c>
      <c r="C8" s="260"/>
      <c r="D8" s="260"/>
      <c r="E8" s="260"/>
      <c r="F8" s="265" t="str">
        <f>IF(COUNTBLANK('Calcolo Probabilità'!$F$5:$F$19)&lt;&gt;0,"",'Calcolo Probabilità'!F9)</f>
        <v/>
      </c>
      <c r="G8" s="260"/>
      <c r="H8" s="261"/>
    </row>
    <row r="9" spans="1:17" ht="28" customHeight="1" x14ac:dyDescent="0.35">
      <c r="A9" s="259"/>
      <c r="B9" s="266" t="str">
        <f>IF('Val. Maturità'!$M$8="Incompleto","Incompleto",'6'!$F$3)</f>
        <v>Incompleto</v>
      </c>
      <c r="C9" s="260"/>
      <c r="D9" s="260"/>
      <c r="E9" s="260"/>
      <c r="F9" s="265" t="str">
        <f>IF(COUNTBLANK('Calcolo Probabilità'!$F$5:$F$19)&lt;&gt;0,"",'Calcolo Probabilità'!F10)</f>
        <v/>
      </c>
      <c r="G9" s="260"/>
      <c r="H9" s="261"/>
    </row>
    <row r="10" spans="1:17" ht="28" customHeight="1" x14ac:dyDescent="0.35">
      <c r="A10" s="259"/>
      <c r="B10" s="266" t="str">
        <f>IF('Val. Maturità'!$M$8="Incompleto","Incompleto",'7'!$F$3)</f>
        <v>Incompleto</v>
      </c>
      <c r="C10" s="260"/>
      <c r="D10" s="260"/>
      <c r="E10" s="260"/>
      <c r="F10" s="265" t="str">
        <f>IF(COUNTBLANK('Calcolo Probabilità'!$F$5:$F$19)&lt;&gt;0,"",'Calcolo Probabilità'!F11)</f>
        <v/>
      </c>
      <c r="G10" s="260"/>
      <c r="H10" s="261"/>
    </row>
    <row r="11" spans="1:17" ht="28" customHeight="1" x14ac:dyDescent="0.35">
      <c r="A11" s="259"/>
      <c r="B11" s="266" t="str">
        <f>IF('Val. Maturità'!$M$8="Incompleto","Incompleto",'8'!$F$3)</f>
        <v>Incompleto</v>
      </c>
      <c r="C11" s="260"/>
      <c r="D11" s="260"/>
      <c r="E11" s="260"/>
      <c r="F11" s="265" t="str">
        <f>IF(COUNTBLANK('Calcolo Probabilità'!$F$5:$F$19)&lt;&gt;0,"",'Calcolo Probabilità'!F12)</f>
        <v/>
      </c>
      <c r="G11" s="260"/>
      <c r="H11" s="261"/>
    </row>
    <row r="12" spans="1:17" ht="28" customHeight="1" x14ac:dyDescent="0.35">
      <c r="A12" s="259"/>
      <c r="B12" s="266" t="str">
        <f>IF('Val. Maturità'!$M$8="Incompleto","Incompleto",'9'!$F$3)</f>
        <v>Incompleto</v>
      </c>
      <c r="C12" s="260"/>
      <c r="D12" s="260"/>
      <c r="E12" s="260"/>
      <c r="F12" s="265" t="str">
        <f>IF(COUNTBLANK('Calcolo Probabilità'!$F$5:$F$19)&lt;&gt;0,"",'Calcolo Probabilità'!F13)</f>
        <v/>
      </c>
      <c r="G12" s="260"/>
      <c r="H12" s="261"/>
    </row>
    <row r="13" spans="1:17" ht="28" customHeight="1" x14ac:dyDescent="0.35">
      <c r="A13" s="259"/>
      <c r="B13" s="266" t="str">
        <f>IF('Val. Maturità'!$M$8="Incompleto","Incompleto",'10'!$F$3)</f>
        <v>Incompleto</v>
      </c>
      <c r="C13" s="260"/>
      <c r="D13" s="260"/>
      <c r="E13" s="260"/>
      <c r="F13" s="265" t="str">
        <f>IF(COUNTBLANK('Calcolo Probabilità'!$F$5:$F$19)&lt;&gt;0,"",'Calcolo Probabilità'!F14)</f>
        <v/>
      </c>
      <c r="G13" s="260"/>
      <c r="H13" s="261"/>
    </row>
    <row r="14" spans="1:17" ht="28" customHeight="1" x14ac:dyDescent="0.35">
      <c r="A14" s="259"/>
      <c r="B14" s="266" t="str">
        <f>IF('Val. Maturità'!$M$8="Incompleto","Incompleto",'11'!$F$3)</f>
        <v>Incompleto</v>
      </c>
      <c r="C14" s="260"/>
      <c r="D14" s="260"/>
      <c r="E14" s="260"/>
      <c r="F14" s="265" t="str">
        <f>IF(COUNTBLANK('Calcolo Probabilità'!$F$5:$F$19)&lt;&gt;0,"",'Calcolo Probabilità'!F15)</f>
        <v/>
      </c>
      <c r="G14" s="260"/>
      <c r="H14" s="261"/>
    </row>
    <row r="15" spans="1:17" ht="28" customHeight="1" x14ac:dyDescent="0.35">
      <c r="A15" s="259"/>
      <c r="B15" s="266" t="str">
        <f>IF('Val. Maturità'!$M$8="Incompleto","Incompleto",'12'!$F$3)</f>
        <v>Incompleto</v>
      </c>
      <c r="C15" s="260"/>
      <c r="D15" s="260"/>
      <c r="E15" s="260"/>
      <c r="F15" s="265" t="str">
        <f>IF(COUNTBLANK('Calcolo Probabilità'!$F$5:$F$19)&lt;&gt;0,"",'Calcolo Probabilità'!F16)</f>
        <v/>
      </c>
      <c r="G15" s="260"/>
      <c r="H15" s="261"/>
    </row>
    <row r="16" spans="1:17" ht="28" customHeight="1" x14ac:dyDescent="0.35">
      <c r="A16" s="259"/>
      <c r="B16" s="266" t="str">
        <f>IF('Val. Maturità'!$M$8="Incompleto","Incompleto",'13'!$F$3)</f>
        <v>Incompleto</v>
      </c>
      <c r="C16" s="260"/>
      <c r="D16" s="260"/>
      <c r="E16" s="260"/>
      <c r="F16" s="265" t="str">
        <f>IF(COUNTBLANK('Calcolo Probabilità'!$F$5:$F$19)&lt;&gt;0,"",'Calcolo Probabilità'!F17)</f>
        <v/>
      </c>
      <c r="G16" s="260"/>
      <c r="H16" s="261"/>
    </row>
    <row r="17" spans="1:13" ht="28" customHeight="1" x14ac:dyDescent="0.35">
      <c r="A17" s="259"/>
      <c r="B17" s="266" t="str">
        <f>IF('Val. Maturità'!$M$8="Incompleto","Incompleto",'14'!$F$3)</f>
        <v>Incompleto</v>
      </c>
      <c r="C17" s="260"/>
      <c r="D17" s="260"/>
      <c r="E17" s="260"/>
      <c r="F17" s="265" t="str">
        <f>IF(COUNTBLANK('Calcolo Probabilità'!$F$5:$F$19)&lt;&gt;0,"",'Calcolo Probabilità'!F18)</f>
        <v/>
      </c>
      <c r="G17" s="260"/>
      <c r="H17" s="261"/>
    </row>
    <row r="18" spans="1:13" ht="28" customHeight="1" x14ac:dyDescent="0.35">
      <c r="A18" s="259"/>
      <c r="B18" s="266" t="str">
        <f>IF('Val. Maturità'!$M$8="Incompleto","Incompleto",'15'!$F$3)</f>
        <v>Incompleto</v>
      </c>
      <c r="C18" s="260"/>
      <c r="D18" s="260"/>
      <c r="E18" s="260"/>
      <c r="F18" s="265" t="str">
        <f>IF(COUNTBLANK('Calcolo Probabilità'!$F$5:$F$19)&lt;&gt;0,"",'Calcolo Probabilità'!F19)</f>
        <v/>
      </c>
      <c r="G18" s="260"/>
      <c r="H18" s="261"/>
    </row>
    <row r="19" spans="1:13" ht="28" customHeight="1" thickBot="1" x14ac:dyDescent="0.4">
      <c r="A19" s="262"/>
      <c r="B19" s="263"/>
      <c r="C19" s="263"/>
      <c r="D19" s="263"/>
      <c r="E19" s="263"/>
      <c r="F19" s="263"/>
      <c r="G19" s="263"/>
      <c r="H19" s="264"/>
    </row>
    <row r="21" spans="1:13" ht="15" thickBot="1" x14ac:dyDescent="0.4"/>
    <row r="22" spans="1:13" ht="15" thickBot="1" x14ac:dyDescent="0.4">
      <c r="A22" s="236"/>
      <c r="B22" s="237"/>
      <c r="C22" s="237"/>
      <c r="D22" s="237"/>
      <c r="E22" s="237"/>
      <c r="F22" s="237"/>
      <c r="G22" s="237"/>
      <c r="H22" s="237"/>
      <c r="I22" s="237"/>
      <c r="J22" s="237"/>
      <c r="K22" s="237"/>
      <c r="L22" s="237"/>
      <c r="M22" s="273" t="s">
        <v>302</v>
      </c>
    </row>
    <row r="23" spans="1:13" ht="16" thickBot="1" x14ac:dyDescent="0.4">
      <c r="A23" s="215"/>
      <c r="B23" s="216"/>
      <c r="C23" s="216"/>
      <c r="D23" s="216"/>
      <c r="E23" s="216"/>
      <c r="F23" s="216"/>
      <c r="G23" s="216"/>
      <c r="H23" s="216"/>
      <c r="I23" s="216"/>
      <c r="J23" s="216"/>
      <c r="K23" s="216"/>
      <c r="L23" s="216" t="s">
        <v>335</v>
      </c>
      <c r="M23" s="217"/>
    </row>
    <row r="24" spans="1:13" ht="44" thickBot="1" x14ac:dyDescent="0.4">
      <c r="A24" s="215"/>
      <c r="B24" s="207" t="s">
        <v>29</v>
      </c>
      <c r="C24" s="216"/>
      <c r="D24" s="208" t="s">
        <v>57</v>
      </c>
      <c r="E24" s="209" t="s">
        <v>58</v>
      </c>
      <c r="F24" s="210" t="s">
        <v>59</v>
      </c>
      <c r="G24" s="210" t="s">
        <v>60</v>
      </c>
      <c r="H24" s="210" t="s">
        <v>61</v>
      </c>
      <c r="I24" s="280"/>
      <c r="J24" s="211" t="s">
        <v>62</v>
      </c>
      <c r="K24" s="216"/>
      <c r="L24" s="212" t="s">
        <v>64</v>
      </c>
      <c r="M24" s="217"/>
    </row>
    <row r="25" spans="1:13" ht="29.5" thickBot="1" x14ac:dyDescent="0.4">
      <c r="A25" s="215"/>
      <c r="B25" s="207" t="s">
        <v>92</v>
      </c>
      <c r="C25" s="216"/>
      <c r="D25" s="218"/>
      <c r="E25" s="267">
        <v>0.6</v>
      </c>
      <c r="F25" s="268">
        <v>0.7</v>
      </c>
      <c r="G25" s="268">
        <v>0.8</v>
      </c>
      <c r="H25" s="268">
        <v>0.9</v>
      </c>
      <c r="I25" s="281"/>
      <c r="J25" s="269">
        <v>1</v>
      </c>
      <c r="K25" s="216"/>
      <c r="L25" s="212" t="s">
        <v>83</v>
      </c>
      <c r="M25" s="217"/>
    </row>
    <row r="26" spans="1:13" ht="15.5" x14ac:dyDescent="0.35">
      <c r="A26" s="215"/>
      <c r="B26" s="207" t="s">
        <v>30</v>
      </c>
      <c r="C26" s="216"/>
      <c r="D26" s="218"/>
      <c r="E26" s="218"/>
      <c r="F26" s="218"/>
      <c r="G26" s="218"/>
      <c r="H26" s="218"/>
      <c r="I26" s="218"/>
      <c r="J26" s="218"/>
      <c r="K26" s="216"/>
      <c r="L26" s="212" t="s">
        <v>82</v>
      </c>
      <c r="M26" s="217"/>
    </row>
    <row r="27" spans="1:13" ht="29.5" thickBot="1" x14ac:dyDescent="0.4">
      <c r="A27" s="215"/>
      <c r="B27" s="207" t="s">
        <v>31</v>
      </c>
      <c r="C27" s="216"/>
      <c r="D27" s="218"/>
      <c r="E27" s="218"/>
      <c r="F27" s="218"/>
      <c r="G27" s="218"/>
      <c r="H27" s="218"/>
      <c r="I27" s="218"/>
      <c r="J27" s="218"/>
      <c r="K27" s="216"/>
      <c r="L27" s="212" t="s">
        <v>81</v>
      </c>
      <c r="M27" s="217"/>
    </row>
    <row r="28" spans="1:13" ht="29.5" thickBot="1" x14ac:dyDescent="0.4">
      <c r="A28" s="215"/>
      <c r="B28" s="216"/>
      <c r="C28" s="216"/>
      <c r="D28" s="208" t="s">
        <v>57</v>
      </c>
      <c r="E28" s="209" t="s">
        <v>58</v>
      </c>
      <c r="F28" s="210" t="s">
        <v>59</v>
      </c>
      <c r="G28" s="210" t="s">
        <v>60</v>
      </c>
      <c r="H28" s="210" t="s">
        <v>61</v>
      </c>
      <c r="I28" s="280"/>
      <c r="J28" s="211" t="s">
        <v>62</v>
      </c>
      <c r="K28" s="216"/>
      <c r="L28" s="212" t="s">
        <v>80</v>
      </c>
      <c r="M28" s="217"/>
    </row>
    <row r="29" spans="1:13" ht="44" thickBot="1" x14ac:dyDescent="0.4">
      <c r="A29" s="215"/>
      <c r="B29" s="216"/>
      <c r="C29" s="216"/>
      <c r="D29" s="218"/>
      <c r="E29" s="219">
        <v>2</v>
      </c>
      <c r="F29" s="220">
        <v>4</v>
      </c>
      <c r="G29" s="220">
        <v>6</v>
      </c>
      <c r="H29" s="220">
        <v>8</v>
      </c>
      <c r="I29" s="282"/>
      <c r="J29" s="221">
        <v>10</v>
      </c>
      <c r="K29" s="216"/>
      <c r="L29" s="212" t="s">
        <v>79</v>
      </c>
      <c r="M29" s="217"/>
    </row>
    <row r="30" spans="1:13" ht="29.5" thickBot="1" x14ac:dyDescent="0.4">
      <c r="A30" s="215"/>
      <c r="B30" s="216"/>
      <c r="C30" s="216"/>
      <c r="D30" s="216"/>
      <c r="E30" s="216"/>
      <c r="F30" s="216"/>
      <c r="G30" s="216"/>
      <c r="H30" s="216"/>
      <c r="I30" s="216"/>
      <c r="J30" s="216"/>
      <c r="K30" s="216"/>
      <c r="L30" s="212" t="s">
        <v>78</v>
      </c>
      <c r="M30" s="217"/>
    </row>
    <row r="31" spans="1:13" ht="31.5" thickBot="1" x14ac:dyDescent="0.4">
      <c r="A31" s="215"/>
      <c r="B31" s="216"/>
      <c r="C31" s="216"/>
      <c r="D31" s="213" t="s">
        <v>91</v>
      </c>
      <c r="E31" s="200" t="str">
        <f>'Indice Complessità'!D10</f>
        <v>Incompleto</v>
      </c>
      <c r="F31" s="216"/>
      <c r="G31" s="216"/>
      <c r="H31" s="216"/>
      <c r="I31" s="216"/>
      <c r="J31" s="216"/>
      <c r="K31" s="216"/>
      <c r="L31" s="212" t="s">
        <v>77</v>
      </c>
      <c r="M31" s="217"/>
    </row>
    <row r="32" spans="1:13" ht="15.5" x14ac:dyDescent="0.35">
      <c r="A32" s="215"/>
      <c r="B32" s="216"/>
      <c r="C32" s="216"/>
      <c r="D32" s="216"/>
      <c r="E32" s="216"/>
      <c r="F32" s="216"/>
      <c r="G32" s="216"/>
      <c r="H32" s="216"/>
      <c r="I32" s="216"/>
      <c r="J32" s="216"/>
      <c r="K32" s="216"/>
      <c r="L32" s="212" t="s">
        <v>76</v>
      </c>
      <c r="M32" s="217"/>
    </row>
    <row r="33" spans="1:13" ht="29" x14ac:dyDescent="0.35">
      <c r="A33" s="215"/>
      <c r="B33" s="216"/>
      <c r="C33" s="216"/>
      <c r="D33" s="216"/>
      <c r="E33" s="216"/>
      <c r="F33" s="216"/>
      <c r="G33" s="216"/>
      <c r="H33" s="216"/>
      <c r="I33" s="216"/>
      <c r="J33" s="216"/>
      <c r="K33" s="216"/>
      <c r="L33" s="212" t="s">
        <v>75</v>
      </c>
      <c r="M33" s="217"/>
    </row>
    <row r="34" spans="1:13" ht="15.5" x14ac:dyDescent="0.35">
      <c r="A34" s="215"/>
      <c r="B34" s="216"/>
      <c r="C34" s="216"/>
      <c r="D34" s="216"/>
      <c r="E34" s="216"/>
      <c r="F34" s="216"/>
      <c r="G34" s="216"/>
      <c r="H34" s="216"/>
      <c r="I34" s="216"/>
      <c r="J34" s="216"/>
      <c r="K34" s="216"/>
      <c r="L34" s="212" t="s">
        <v>74</v>
      </c>
      <c r="M34" s="217"/>
    </row>
    <row r="35" spans="1:13" ht="15.5" x14ac:dyDescent="0.35">
      <c r="A35" s="215"/>
      <c r="B35" s="216"/>
      <c r="C35" s="216"/>
      <c r="D35" s="216"/>
      <c r="E35" s="216"/>
      <c r="F35" s="216"/>
      <c r="G35" s="216"/>
      <c r="H35" s="216"/>
      <c r="I35" s="216"/>
      <c r="J35" s="216"/>
      <c r="K35" s="216"/>
      <c r="L35" s="212" t="s">
        <v>73</v>
      </c>
      <c r="M35" s="217"/>
    </row>
    <row r="36" spans="1:13" ht="29" x14ac:dyDescent="0.35">
      <c r="A36" s="215"/>
      <c r="B36" s="216"/>
      <c r="C36" s="216"/>
      <c r="D36" s="216"/>
      <c r="E36" s="216"/>
      <c r="F36" s="216"/>
      <c r="G36" s="216"/>
      <c r="H36" s="216"/>
      <c r="I36" s="216"/>
      <c r="J36" s="216"/>
      <c r="K36" s="216"/>
      <c r="L36" s="212" t="s">
        <v>72</v>
      </c>
      <c r="M36" s="217"/>
    </row>
    <row r="37" spans="1:13" ht="15.5" x14ac:dyDescent="0.35">
      <c r="A37" s="215"/>
      <c r="B37" s="216"/>
      <c r="C37" s="216"/>
      <c r="D37" s="216"/>
      <c r="E37" s="216"/>
      <c r="F37" s="216"/>
      <c r="G37" s="216"/>
      <c r="H37" s="216"/>
      <c r="I37" s="216"/>
      <c r="J37" s="216"/>
      <c r="K37" s="216"/>
      <c r="L37" s="212" t="s">
        <v>71</v>
      </c>
      <c r="M37" s="217"/>
    </row>
    <row r="38" spans="1:13" ht="43.5" x14ac:dyDescent="0.35">
      <c r="A38" s="215"/>
      <c r="B38" s="216"/>
      <c r="C38" s="216"/>
      <c r="D38" s="216"/>
      <c r="E38" s="216"/>
      <c r="F38" s="216"/>
      <c r="G38" s="216"/>
      <c r="H38" s="216"/>
      <c r="I38" s="216"/>
      <c r="J38" s="216"/>
      <c r="K38" s="216"/>
      <c r="L38" s="212" t="s">
        <v>70</v>
      </c>
      <c r="M38" s="217"/>
    </row>
    <row r="39" spans="1:13" ht="15.5" x14ac:dyDescent="0.35">
      <c r="A39" s="215"/>
      <c r="B39" s="216"/>
      <c r="C39" s="216"/>
      <c r="D39" s="216"/>
      <c r="E39" s="216"/>
      <c r="F39" s="216"/>
      <c r="G39" s="216"/>
      <c r="H39" s="216"/>
      <c r="I39" s="216"/>
      <c r="J39" s="216"/>
      <c r="K39" s="216"/>
      <c r="L39" s="212" t="s">
        <v>69</v>
      </c>
      <c r="M39" s="217"/>
    </row>
    <row r="40" spans="1:13" ht="15.5" x14ac:dyDescent="0.35">
      <c r="A40" s="215"/>
      <c r="B40" s="216"/>
      <c r="C40" s="216"/>
      <c r="D40" s="216"/>
      <c r="E40" s="216"/>
      <c r="F40" s="216"/>
      <c r="G40" s="216"/>
      <c r="H40" s="216"/>
      <c r="I40" s="216"/>
      <c r="J40" s="216"/>
      <c r="K40" s="216"/>
      <c r="L40" s="212" t="s">
        <v>68</v>
      </c>
      <c r="M40" s="217"/>
    </row>
    <row r="41" spans="1:13" ht="29.5" thickBot="1" x14ac:dyDescent="0.4">
      <c r="A41" s="215"/>
      <c r="B41" s="216"/>
      <c r="C41" s="216"/>
      <c r="D41" s="216"/>
      <c r="E41" s="216"/>
      <c r="F41" s="216"/>
      <c r="G41" s="216"/>
      <c r="H41" s="216"/>
      <c r="I41" s="216"/>
      <c r="J41" s="216"/>
      <c r="K41" s="216"/>
      <c r="L41" s="214" t="s">
        <v>67</v>
      </c>
      <c r="M41" s="217"/>
    </row>
    <row r="42" spans="1:13" ht="15.5" x14ac:dyDescent="0.35">
      <c r="A42" s="215"/>
      <c r="B42" s="216"/>
      <c r="C42" s="216"/>
      <c r="D42" s="216"/>
      <c r="E42" s="216"/>
      <c r="F42" s="216"/>
      <c r="G42" s="216"/>
      <c r="H42" s="216"/>
      <c r="I42" s="216"/>
      <c r="J42" s="216"/>
      <c r="K42" s="216"/>
      <c r="L42" s="216"/>
      <c r="M42" s="217"/>
    </row>
    <row r="43" spans="1:13" x14ac:dyDescent="0.35">
      <c r="A43" s="201"/>
      <c r="B43" s="202"/>
      <c r="C43" s="202"/>
      <c r="D43" s="202"/>
      <c r="E43" s="202"/>
      <c r="F43" s="202"/>
      <c r="G43" s="202"/>
      <c r="H43" s="202"/>
      <c r="I43" s="202"/>
      <c r="J43" s="202"/>
      <c r="K43" s="202"/>
      <c r="L43" s="202"/>
      <c r="M43" s="203"/>
    </row>
    <row r="44" spans="1:13" ht="15" thickBot="1" x14ac:dyDescent="0.4">
      <c r="A44" s="204"/>
      <c r="B44" s="205"/>
      <c r="C44" s="205"/>
      <c r="D44" s="205"/>
      <c r="E44" s="205"/>
      <c r="F44" s="205"/>
      <c r="G44" s="205"/>
      <c r="H44" s="205"/>
      <c r="I44" s="205"/>
      <c r="J44" s="205"/>
      <c r="K44" s="205"/>
      <c r="L44" s="205"/>
      <c r="M44" s="206"/>
    </row>
    <row r="45" spans="1:13" ht="15" thickBot="1" x14ac:dyDescent="0.4"/>
    <row r="46" spans="1:13" ht="15" thickBot="1" x14ac:dyDescent="0.4">
      <c r="A46" s="222"/>
      <c r="B46" s="223"/>
      <c r="C46" s="223"/>
      <c r="D46" s="223"/>
      <c r="E46" s="223"/>
      <c r="F46" s="223"/>
      <c r="G46" s="223"/>
      <c r="H46" s="223"/>
      <c r="I46" s="223"/>
      <c r="J46" s="223"/>
      <c r="K46" s="223"/>
      <c r="L46" s="223"/>
      <c r="M46" s="272" t="s">
        <v>303</v>
      </c>
    </row>
    <row r="47" spans="1:13" ht="15" thickBot="1" x14ac:dyDescent="0.4">
      <c r="A47" s="224"/>
      <c r="B47" s="225"/>
      <c r="C47" s="225"/>
      <c r="D47" s="225"/>
      <c r="E47" s="225"/>
      <c r="F47" s="225"/>
      <c r="G47" s="225"/>
      <c r="H47" s="225"/>
      <c r="I47" s="225"/>
      <c r="J47" s="225"/>
      <c r="K47" s="225"/>
      <c r="L47" s="225"/>
      <c r="M47" s="226"/>
    </row>
    <row r="48" spans="1:13" ht="29.5" thickBot="1" x14ac:dyDescent="0.4">
      <c r="A48" s="224"/>
      <c r="B48" s="225"/>
      <c r="C48" s="225"/>
      <c r="D48" s="372" t="s">
        <v>47</v>
      </c>
      <c r="E48" s="225"/>
      <c r="F48" s="227" t="str">
        <f>D48</f>
        <v>Assolutamente no</v>
      </c>
      <c r="G48" s="228" t="str">
        <f>D49</f>
        <v>Più no che sì</v>
      </c>
      <c r="H48" s="228" t="str">
        <f>D50</f>
        <v>Più sì che no</v>
      </c>
      <c r="I48" s="283"/>
      <c r="J48" s="229" t="str">
        <f>D51</f>
        <v>Assolutamente sì</v>
      </c>
      <c r="K48" s="225"/>
      <c r="L48" s="225"/>
      <c r="M48" s="226"/>
    </row>
    <row r="49" spans="1:13" ht="15" thickBot="1" x14ac:dyDescent="0.4">
      <c r="A49" s="224"/>
      <c r="B49" s="225"/>
      <c r="C49" s="225"/>
      <c r="D49" s="373" t="s">
        <v>48</v>
      </c>
      <c r="E49" s="225"/>
      <c r="F49" s="230">
        <v>0</v>
      </c>
      <c r="G49" s="231">
        <f>1/3</f>
        <v>0.33333333333333331</v>
      </c>
      <c r="H49" s="231">
        <f>2/3</f>
        <v>0.66666666666666663</v>
      </c>
      <c r="I49" s="284"/>
      <c r="J49" s="232">
        <f>1</f>
        <v>1</v>
      </c>
      <c r="K49" s="225"/>
      <c r="L49" s="225"/>
      <c r="M49" s="226"/>
    </row>
    <row r="50" spans="1:13" x14ac:dyDescent="0.35">
      <c r="A50" s="224"/>
      <c r="B50" s="225"/>
      <c r="C50" s="225"/>
      <c r="D50" s="373" t="s">
        <v>49</v>
      </c>
      <c r="E50" s="225"/>
      <c r="F50" s="225"/>
      <c r="G50" s="225"/>
      <c r="H50" s="225"/>
      <c r="I50" s="225"/>
      <c r="J50" s="225"/>
      <c r="K50" s="225"/>
      <c r="L50" s="225"/>
      <c r="M50" s="226"/>
    </row>
    <row r="51" spans="1:13" ht="29.5" thickBot="1" x14ac:dyDescent="0.4">
      <c r="A51" s="224"/>
      <c r="B51" s="225"/>
      <c r="C51" s="225"/>
      <c r="D51" s="374" t="s">
        <v>50</v>
      </c>
      <c r="E51" s="225"/>
      <c r="F51" s="225"/>
      <c r="G51" s="225"/>
      <c r="H51" s="225"/>
      <c r="I51" s="225"/>
      <c r="J51" s="225"/>
      <c r="K51" s="225"/>
      <c r="L51" s="225"/>
      <c r="M51" s="226"/>
    </row>
    <row r="52" spans="1:13" ht="15" thickBot="1" x14ac:dyDescent="0.4">
      <c r="A52" s="233"/>
      <c r="B52" s="234"/>
      <c r="C52" s="234"/>
      <c r="D52" s="234"/>
      <c r="E52" s="234"/>
      <c r="F52" s="234"/>
      <c r="G52" s="234"/>
      <c r="H52" s="234"/>
      <c r="I52" s="234"/>
      <c r="J52" s="234"/>
      <c r="K52" s="234"/>
      <c r="L52" s="234"/>
      <c r="M52" s="235"/>
    </row>
    <row r="53" spans="1:13" ht="15" thickBot="1" x14ac:dyDescent="0.4"/>
    <row r="54" spans="1:13" ht="15" thickBot="1" x14ac:dyDescent="0.4">
      <c r="A54" s="239"/>
      <c r="B54" s="240"/>
      <c r="C54" s="240"/>
      <c r="D54" s="240"/>
      <c r="E54" s="240"/>
      <c r="F54" s="240"/>
      <c r="G54" s="240"/>
      <c r="H54" s="240"/>
      <c r="I54" s="240"/>
      <c r="J54" s="240"/>
      <c r="K54" s="240"/>
      <c r="L54" s="240"/>
      <c r="M54" s="271" t="s">
        <v>304</v>
      </c>
    </row>
    <row r="55" spans="1:13" x14ac:dyDescent="0.35">
      <c r="A55" s="241"/>
      <c r="B55" s="242"/>
      <c r="C55" s="242"/>
      <c r="D55" s="242"/>
      <c r="E55" s="242"/>
      <c r="F55" s="242"/>
      <c r="G55" s="242"/>
      <c r="H55" s="242"/>
      <c r="I55" s="242"/>
      <c r="J55" s="242"/>
      <c r="K55" s="242"/>
      <c r="L55" s="242"/>
      <c r="M55" s="243"/>
    </row>
    <row r="56" spans="1:13" ht="15" thickBot="1" x14ac:dyDescent="0.4">
      <c r="A56" s="241"/>
      <c r="B56" s="242"/>
      <c r="C56" s="242"/>
      <c r="D56" s="242"/>
      <c r="E56" s="242"/>
      <c r="F56" s="242"/>
      <c r="G56" s="242"/>
      <c r="H56" s="242"/>
      <c r="I56" s="242"/>
      <c r="J56" s="242"/>
      <c r="K56" s="242"/>
      <c r="L56" s="242"/>
      <c r="M56" s="243"/>
    </row>
    <row r="57" spans="1:13" x14ac:dyDescent="0.35">
      <c r="A57" s="241"/>
      <c r="B57" s="242"/>
      <c r="C57" s="66" t="s">
        <v>51</v>
      </c>
      <c r="D57" s="63" t="e">
        <f>(EXP(-F57)*(0.9*EXP(10)-1.9)+0.95*EXP(10)-1.85)/(EXP(10)-1)</f>
        <v>#VALUE!</v>
      </c>
      <c r="E57" s="67" t="s">
        <v>52</v>
      </c>
      <c r="F57" s="63" t="str">
        <f>Engine!E31</f>
        <v>Incompleto</v>
      </c>
      <c r="G57" s="67" t="s">
        <v>53</v>
      </c>
      <c r="H57" s="64">
        <v>-1</v>
      </c>
      <c r="I57" s="242"/>
      <c r="J57" s="242"/>
      <c r="K57" s="242"/>
      <c r="L57" s="242"/>
      <c r="M57" s="243"/>
    </row>
    <row r="58" spans="1:13" ht="15" thickBot="1" x14ac:dyDescent="0.4">
      <c r="A58" s="241"/>
      <c r="B58" s="242"/>
      <c r="C58" s="69" t="s">
        <v>54</v>
      </c>
      <c r="D58" s="65">
        <v>1</v>
      </c>
      <c r="E58" s="68" t="s">
        <v>55</v>
      </c>
      <c r="F58" s="65">
        <v>1</v>
      </c>
      <c r="G58" s="68" t="s">
        <v>56</v>
      </c>
      <c r="H58" s="103" t="e">
        <f>(-0.9*EXP(F57)+0.05*EXP(10)-0.95)/(EXP(10)-1)</f>
        <v>#VALUE!</v>
      </c>
      <c r="I58" s="242"/>
      <c r="J58" s="242"/>
      <c r="K58" s="242"/>
      <c r="L58" s="242"/>
      <c r="M58" s="243"/>
    </row>
    <row r="59" spans="1:13" x14ac:dyDescent="0.35">
      <c r="A59" s="241"/>
      <c r="B59" s="242"/>
      <c r="C59" s="242"/>
      <c r="D59" s="242"/>
      <c r="E59" s="242"/>
      <c r="F59" s="242"/>
      <c r="G59" s="242"/>
      <c r="H59" s="242"/>
      <c r="I59" s="242"/>
      <c r="J59" s="242"/>
      <c r="K59" s="242"/>
      <c r="L59" s="242"/>
      <c r="M59" s="243"/>
    </row>
    <row r="60" spans="1:13" ht="15" thickBot="1" x14ac:dyDescent="0.4">
      <c r="A60" s="241"/>
      <c r="B60" s="242"/>
      <c r="C60" s="242"/>
      <c r="D60" s="242"/>
      <c r="E60" s="242"/>
      <c r="F60" s="242"/>
      <c r="G60" s="242"/>
      <c r="H60" s="242"/>
      <c r="I60" s="242"/>
      <c r="J60" s="242"/>
      <c r="K60" s="242"/>
      <c r="L60" s="242"/>
      <c r="M60" s="243"/>
    </row>
    <row r="61" spans="1:13" x14ac:dyDescent="0.35">
      <c r="A61" s="241"/>
      <c r="B61" s="244">
        <v>0</v>
      </c>
      <c r="C61" s="245" t="e">
        <f>Engine!$H$58+((Engine!$D$57-Engine!$H$58)/(1+Engine!$D$58*EXP(-Engine!$H$57*(B61-Engine!$F$57)))^(1/Engine!$F$58))</f>
        <v>#VALUE!</v>
      </c>
      <c r="D61" s="246"/>
      <c r="E61" s="246"/>
      <c r="F61" s="657" t="str">
        <f>'Tabella Pesi'!C1</f>
        <v>Malware</v>
      </c>
      <c r="G61" s="246">
        <f>15-COUNTBLANK('1'!$C$3:$C$17)</f>
        <v>7</v>
      </c>
      <c r="H61" s="246">
        <f>COUNTIFS('1'!$C$3:$C$17,"N/A")</f>
        <v>0</v>
      </c>
      <c r="I61" s="246" t="str">
        <f>IF(G61=H61,0,IF(OR(Cover!$D$6="",Cover!$D$6=Engine!$L$23),"Selezionare tipo di organizzazione",IF('Indice Complessità'!$D$9="Incompleto","Completa valutazione complessità",IF('Val. Maturità'!$M$8="Incompleto","Completa valutazione maturità",'1'!$M$5))))</f>
        <v>Selezionare tipo di organizzazione</v>
      </c>
      <c r="J61" s="246"/>
      <c r="K61" s="242"/>
      <c r="L61" s="242"/>
      <c r="M61" s="243"/>
    </row>
    <row r="62" spans="1:13" x14ac:dyDescent="0.35">
      <c r="A62" s="241"/>
      <c r="B62" s="247">
        <f t="shared" ref="B62:B101" si="0">B61+0.25</f>
        <v>0.25</v>
      </c>
      <c r="C62" s="248" t="e">
        <f>Engine!$H$58+((Engine!$D$57-Engine!$H$58)/(1+Engine!$D$58*EXP(-Engine!$H$57*(B62-Engine!$F$57)))^(1/Engine!$F$58))</f>
        <v>#VALUE!</v>
      </c>
      <c r="D62" s="246"/>
      <c r="E62" s="246"/>
      <c r="F62" s="657" t="str">
        <f>'Tabella Pesi'!D1</f>
        <v>Web based attacks</v>
      </c>
      <c r="G62" s="246">
        <f>15-COUNTBLANK('2'!$C$3:$C$17)</f>
        <v>6</v>
      </c>
      <c r="H62" s="246">
        <f>COUNTIFS('2'!$C$3:$C$17,"N/A")</f>
        <v>0</v>
      </c>
      <c r="I62" s="246" t="str">
        <f>IF(G62=H62,0,IF(OR(Cover!$D$6="",Cover!$D$6=Engine!$L$23),"Selezionare tipo di organizzazione",IF('Indice Complessità'!$D$9="Incompleto","Completa valutazione complessità",IF('Val. Maturità'!$M$8="Incompleto","Completa valutazione maturità",'2'!$M$5))))</f>
        <v>Selezionare tipo di organizzazione</v>
      </c>
      <c r="J62" s="246"/>
      <c r="K62" s="242"/>
      <c r="L62" s="242"/>
      <c r="M62" s="243"/>
    </row>
    <row r="63" spans="1:13" x14ac:dyDescent="0.35">
      <c r="A63" s="241"/>
      <c r="B63" s="247">
        <f t="shared" si="0"/>
        <v>0.5</v>
      </c>
      <c r="C63" s="248" t="e">
        <f>Engine!$H$58+((Engine!$D$57-Engine!$H$58)/(1+Engine!$D$58*EXP(-Engine!$H$57*(B63-Engine!$F$57)))^(1/Engine!$F$58))</f>
        <v>#VALUE!</v>
      </c>
      <c r="D63" s="246"/>
      <c r="E63" s="246"/>
      <c r="F63" s="657" t="str">
        <f>'Tabella Pesi'!E1</f>
        <v>Phishing</v>
      </c>
      <c r="G63" s="246">
        <f>15-COUNTBLANK('3'!$C$3:$C$17)</f>
        <v>4</v>
      </c>
      <c r="H63" s="246">
        <f>COUNTIFS('3'!$C$3:$C$17,"N/A")</f>
        <v>0</v>
      </c>
      <c r="I63" s="246" t="str">
        <f>IF(G63=H63,0,IF(OR(Cover!$D$6="",Cover!$D$6=Engine!$L$23),"Selezionare tipo di organizzazione",IF('Indice Complessità'!$D$9="Incompleto","Completa valutazione complessità",IF('Val. Maturità'!$M$8="Incompleto","Completa valutazione maturità",'3'!$M$5))))</f>
        <v>Selezionare tipo di organizzazione</v>
      </c>
      <c r="J63" s="246"/>
      <c r="K63" s="242"/>
      <c r="L63" s="242"/>
      <c r="M63" s="243"/>
    </row>
    <row r="64" spans="1:13" x14ac:dyDescent="0.35">
      <c r="A64" s="241"/>
      <c r="B64" s="247">
        <f t="shared" si="0"/>
        <v>0.75</v>
      </c>
      <c r="C64" s="248" t="e">
        <f>Engine!$H$58+((Engine!$D$57-Engine!$H$58)/(1+Engine!$D$58*EXP(-Engine!$H$57*(B64-Engine!$F$57)))^(1/Engine!$F$58))</f>
        <v>#VALUE!</v>
      </c>
      <c r="D64" s="246"/>
      <c r="E64" s="246"/>
      <c r="F64" s="657" t="str">
        <f>'Tabella Pesi'!F1</f>
        <v>Web application attacks</v>
      </c>
      <c r="G64" s="246">
        <f>15-COUNTBLANK('4'!$C$3:$C$17)</f>
        <v>6</v>
      </c>
      <c r="H64" s="246">
        <f>COUNTIFS('4'!$C$3:$C$17,"N/A")</f>
        <v>0</v>
      </c>
      <c r="I64" s="246" t="str">
        <f>IF(G64=H64,0,IF(OR(Cover!$D$6="",Cover!$D$6=Engine!$L$23),"Selezionare tipo di organizzazione",IF('Indice Complessità'!$D$9="Incompleto","Completa valutazione complessità",IF('Val. Maturità'!$M$8="Incompleto","Completa valutazione maturità",'4'!$M$5))))</f>
        <v>Selezionare tipo di organizzazione</v>
      </c>
      <c r="J64" s="246"/>
      <c r="K64" s="242"/>
      <c r="L64" s="242"/>
      <c r="M64" s="243"/>
    </row>
    <row r="65" spans="1:13" x14ac:dyDescent="0.35">
      <c r="A65" s="241"/>
      <c r="B65" s="247">
        <f t="shared" si="0"/>
        <v>1</v>
      </c>
      <c r="C65" s="248" t="e">
        <f>Engine!$H$58+((Engine!$D$57-Engine!$H$58)/(1+Engine!$D$58*EXP(-Engine!$H$57*(B65-Engine!$F$57)))^(1/Engine!$F$58))</f>
        <v>#VALUE!</v>
      </c>
      <c r="D65" s="246"/>
      <c r="E65" s="246"/>
      <c r="F65" s="657" t="str">
        <f>'Tabella Pesi'!G1</f>
        <v>Spam</v>
      </c>
      <c r="G65" s="246">
        <f>15-COUNTBLANK('5'!$C$3:$C$17)</f>
        <v>5</v>
      </c>
      <c r="H65" s="246">
        <f>COUNTIFS('5'!$C$3:$C$17,"N/A")</f>
        <v>0</v>
      </c>
      <c r="I65" s="246" t="str">
        <f>IF(G65=H65,0,IF(OR(Cover!$D$6="",Cover!$D$6=Engine!$L$23),"Selezionare tipo di organizzazione",IF('Indice Complessità'!$D$9="Incompleto","Completa valutazione complessità",IF('Val. Maturità'!$M$8="Incompleto","Completa valutazione maturità",'5'!$M$5))))</f>
        <v>Selezionare tipo di organizzazione</v>
      </c>
      <c r="J65" s="246"/>
      <c r="K65" s="242"/>
      <c r="L65" s="242"/>
      <c r="M65" s="243"/>
    </row>
    <row r="66" spans="1:13" x14ac:dyDescent="0.35">
      <c r="A66" s="241"/>
      <c r="B66" s="247">
        <f t="shared" si="0"/>
        <v>1.25</v>
      </c>
      <c r="C66" s="248" t="e">
        <f>Engine!$H$58+((Engine!$D$57-Engine!$H$58)/(1+Engine!$D$58*EXP(-Engine!$H$57*(B66-Engine!$F$57)))^(1/Engine!$F$58))</f>
        <v>#VALUE!</v>
      </c>
      <c r="D66" s="246"/>
      <c r="E66" s="246"/>
      <c r="F66" s="657" t="str">
        <f>'Tabella Pesi'!H1</f>
        <v>DDoS</v>
      </c>
      <c r="G66" s="246">
        <f>15-COUNTBLANK('6'!$C$3:$C$17)</f>
        <v>5</v>
      </c>
      <c r="H66" s="246">
        <f>COUNTIFS('6'!$C$3:$C$17,"N/A")</f>
        <v>0</v>
      </c>
      <c r="I66" s="246" t="str">
        <f>IF(G66=H66,0,IF(OR(Cover!$D$6="",Cover!$D$6=Engine!$L$23),"Selezionare tipo di organizzazione",IF('Indice Complessità'!$D$9="Incompleto","Completa valutazione complessità",IF('Val. Maturità'!$M$8="Incompleto","Completa valutazione maturità",'6'!$M$5))))</f>
        <v>Selezionare tipo di organizzazione</v>
      </c>
      <c r="J66" s="246"/>
      <c r="K66" s="242"/>
      <c r="L66" s="242"/>
      <c r="M66" s="243"/>
    </row>
    <row r="67" spans="1:13" x14ac:dyDescent="0.35">
      <c r="A67" s="241"/>
      <c r="B67" s="247">
        <f t="shared" si="0"/>
        <v>1.5</v>
      </c>
      <c r="C67" s="248" t="e">
        <f>Engine!$H$58+((Engine!$D$57-Engine!$H$58)/(1+Engine!$D$58*EXP(-Engine!$H$57*(B67-Engine!$F$57)))^(1/Engine!$F$58))</f>
        <v>#VALUE!</v>
      </c>
      <c r="D67" s="246"/>
      <c r="E67" s="246"/>
      <c r="F67" s="657" t="str">
        <f>'Tabella Pesi'!I1</f>
        <v>Identity theft</v>
      </c>
      <c r="G67" s="246">
        <f>15-COUNTBLANK('7'!$C$3:$C$17)</f>
        <v>10</v>
      </c>
      <c r="H67" s="246">
        <f>COUNTIFS('7'!$C$3:$C$17,"N/A")</f>
        <v>0</v>
      </c>
      <c r="I67" s="246" t="str">
        <f>IF(G67=H67,0,IF(OR(Cover!$D$6="",Cover!$D$6=Engine!$L$23),"Selezionare tipo di organizzazione",IF('Indice Complessità'!$D$9="Incompleto","Completa valutazione complessità",IF('Val. Maturità'!$M$8="Incompleto","Completa valutazione maturità",'7'!$M$5))))</f>
        <v>Selezionare tipo di organizzazione</v>
      </c>
      <c r="J67" s="246"/>
      <c r="K67" s="242"/>
      <c r="L67" s="242"/>
      <c r="M67" s="243"/>
    </row>
    <row r="68" spans="1:13" x14ac:dyDescent="0.35">
      <c r="A68" s="241"/>
      <c r="B68" s="247">
        <f t="shared" si="0"/>
        <v>1.75</v>
      </c>
      <c r="C68" s="248" t="e">
        <f>Engine!$H$58+((Engine!$D$57-Engine!$H$58)/(1+Engine!$D$58*EXP(-Engine!$H$57*(B68-Engine!$F$57)))^(1/Engine!$F$58))</f>
        <v>#VALUE!</v>
      </c>
      <c r="D68" s="246"/>
      <c r="E68" s="246"/>
      <c r="F68" s="657" t="str">
        <f>'Tabella Pesi'!J1</f>
        <v>Data breach</v>
      </c>
      <c r="G68" s="246">
        <f>15-COUNTBLANK('8'!$C$3:$C$17)</f>
        <v>10</v>
      </c>
      <c r="H68" s="246">
        <f>COUNTIFS('8'!$C$3:$C$17,"N/A")</f>
        <v>0</v>
      </c>
      <c r="I68" s="246" t="str">
        <f>IF(G68=H68,0,IF(OR(Cover!$D$6="",Cover!$D$6=Engine!$L$23),"Selezionare tipo di organizzazione",IF('Indice Complessità'!$D$9="Incompleto","Completa valutazione complessità",IF('Val. Maturità'!$M$8="Incompleto","Completa valutazione maturità",'8'!$M$5))))</f>
        <v>Selezionare tipo di organizzazione</v>
      </c>
      <c r="J68" s="246"/>
      <c r="K68" s="242"/>
      <c r="L68" s="242"/>
      <c r="M68" s="243"/>
    </row>
    <row r="69" spans="1:13" x14ac:dyDescent="0.35">
      <c r="A69" s="241"/>
      <c r="B69" s="247">
        <f t="shared" si="0"/>
        <v>2</v>
      </c>
      <c r="C69" s="248" t="e">
        <f>Engine!$H$58+((Engine!$D$57-Engine!$H$58)/(1+Engine!$D$58*EXP(-Engine!$H$57*(B69-Engine!$F$57)))^(1/Engine!$F$58))</f>
        <v>#VALUE!</v>
      </c>
      <c r="D69" s="246"/>
      <c r="E69" s="246"/>
      <c r="F69" s="657" t="str">
        <f>'Tabella Pesi'!K1</f>
        <v>Insider threat</v>
      </c>
      <c r="G69" s="246">
        <f>15-COUNTBLANK('9'!$C$3:$C$17)</f>
        <v>11</v>
      </c>
      <c r="H69" s="246">
        <f>COUNTIFS('9'!$C$3:$C$17,"N/A")</f>
        <v>0</v>
      </c>
      <c r="I69" s="246" t="str">
        <f>IF(G69=H69,0,IF(OR(Cover!$D$6="",Cover!$D$6=Engine!$L$23),"Selezionare tipo di organizzazione",IF('Indice Complessità'!$D$9="Incompleto","Completa valutazione complessità",IF('Val. Maturità'!$M$8="Incompleto","Completa valutazione maturità",'9'!$M$5))))</f>
        <v>Selezionare tipo di organizzazione</v>
      </c>
      <c r="J69" s="246"/>
      <c r="K69" s="242"/>
      <c r="L69" s="242"/>
      <c r="M69" s="243"/>
    </row>
    <row r="70" spans="1:13" x14ac:dyDescent="0.35">
      <c r="A70" s="241"/>
      <c r="B70" s="247">
        <f t="shared" si="0"/>
        <v>2.25</v>
      </c>
      <c r="C70" s="248" t="e">
        <f>Engine!$H$58+((Engine!$D$57-Engine!$H$58)/(1+Engine!$D$58*EXP(-Engine!$H$57*(B70-Engine!$F$57)))^(1/Engine!$F$58))</f>
        <v>#VALUE!</v>
      </c>
      <c r="D70" s="246"/>
      <c r="E70" s="246"/>
      <c r="F70" s="657" t="str">
        <f>'Tabella Pesi'!L1</f>
        <v>Botnets</v>
      </c>
      <c r="G70" s="246">
        <f>15-COUNTBLANK('10'!$C$3:$C$17)</f>
        <v>7</v>
      </c>
      <c r="H70" s="246">
        <f>COUNTIFS('10'!$C$3:$C$17,"N/A")</f>
        <v>0</v>
      </c>
      <c r="I70" s="246" t="str">
        <f>IF(G70=H70,0,IF(OR(Cover!$D$6="",Cover!$D$6=Engine!$L$23),"Selezionare tipo di organizzazione",IF('Indice Complessità'!$D$9="Incompleto","Completa valutazione complessità",IF('Val. Maturità'!$M$8="Incompleto","Completa valutazione maturità",'10'!$M$5))))</f>
        <v>Selezionare tipo di organizzazione</v>
      </c>
      <c r="J70" s="246"/>
      <c r="K70" s="242"/>
      <c r="L70" s="242"/>
      <c r="M70" s="243"/>
    </row>
    <row r="71" spans="1:13" ht="29" x14ac:dyDescent="0.35">
      <c r="A71" s="241"/>
      <c r="B71" s="247">
        <f t="shared" si="0"/>
        <v>2.5</v>
      </c>
      <c r="C71" s="248" t="e">
        <f>Engine!$H$58+((Engine!$D$57-Engine!$H$58)/(1+Engine!$D$58*EXP(-Engine!$H$57*(B71-Engine!$F$57)))^(1/Engine!$F$58))</f>
        <v>#VALUE!</v>
      </c>
      <c r="D71" s="246"/>
      <c r="E71" s="246"/>
      <c r="F71" s="657" t="str">
        <f>'Tabella Pesi'!M1</f>
        <v>Physical manipulation damage theft and loss</v>
      </c>
      <c r="G71" s="246">
        <f>15-COUNTBLANK('11'!$C$3:$C$17)</f>
        <v>11</v>
      </c>
      <c r="H71" s="246">
        <f>COUNTIFS('11'!$C$3:$C$17,"N/A")</f>
        <v>0</v>
      </c>
      <c r="I71" s="246" t="str">
        <f>IF(G71=H71,0,IF(OR(Cover!$D$6="",Cover!$D$6=Engine!$L$23),"Selezionare tipo di organizzazione",IF('Indice Complessità'!$D$9="Incompleto","Completa valutazione complessità",IF('Val. Maturità'!$M$8="Incompleto","Completa valutazione maturità",'11'!$M$5))))</f>
        <v>Selezionare tipo di organizzazione</v>
      </c>
      <c r="J71" s="246"/>
      <c r="K71" s="242"/>
      <c r="L71" s="242"/>
      <c r="M71" s="243"/>
    </row>
    <row r="72" spans="1:13" x14ac:dyDescent="0.35">
      <c r="A72" s="241"/>
      <c r="B72" s="247">
        <f t="shared" si="0"/>
        <v>2.75</v>
      </c>
      <c r="C72" s="248" t="e">
        <f>Engine!$H$58+((Engine!$D$57-Engine!$H$58)/(1+Engine!$D$58*EXP(-Engine!$H$57*(B72-Engine!$F$57)))^(1/Engine!$F$58))</f>
        <v>#VALUE!</v>
      </c>
      <c r="D72" s="246"/>
      <c r="E72" s="246"/>
      <c r="F72" s="657" t="str">
        <f>'Tabella Pesi'!N1</f>
        <v>Information leakage</v>
      </c>
      <c r="G72" s="246">
        <f>15-COUNTBLANK('12'!$C$3:$C$17)</f>
        <v>10</v>
      </c>
      <c r="H72" s="246">
        <f>COUNTIFS('12'!$C$3:$C$17,"N/A")</f>
        <v>0</v>
      </c>
      <c r="I72" s="246" t="str">
        <f>IF(G72=H72,0,IF(OR(Cover!$D$6="",Cover!$D$6=Engine!$L$23),"Selezionare tipo di organizzazione",IF('Indice Complessità'!$D$9="Incompleto","Completa valutazione complessità",IF('Val. Maturità'!$M$8="Incompleto","Completa valutazione maturità",'12'!$M$5))))</f>
        <v>Selezionare tipo di organizzazione</v>
      </c>
      <c r="J72" s="246"/>
      <c r="K72" s="242"/>
      <c r="L72" s="242"/>
      <c r="M72" s="243"/>
    </row>
    <row r="73" spans="1:13" x14ac:dyDescent="0.35">
      <c r="A73" s="241"/>
      <c r="B73" s="247">
        <f t="shared" si="0"/>
        <v>3</v>
      </c>
      <c r="C73" s="248" t="e">
        <f>Engine!$H$58+((Engine!$D$57-Engine!$H$58)/(1+Engine!$D$58*EXP(-Engine!$H$57*(B73-Engine!$F$57)))^(1/Engine!$F$58))</f>
        <v>#VALUE!</v>
      </c>
      <c r="D73" s="246"/>
      <c r="E73" s="246"/>
      <c r="F73" s="657" t="str">
        <f>'Tabella Pesi'!O1</f>
        <v>Ransomware</v>
      </c>
      <c r="G73" s="246">
        <f>15-COUNTBLANK('13'!$C$3:$C$17)</f>
        <v>7</v>
      </c>
      <c r="H73" s="246">
        <f>COUNTIFS('13'!$C$3:$C$17,"N/A")</f>
        <v>0</v>
      </c>
      <c r="I73" s="246" t="str">
        <f>IF(G73=H73,0,IF(OR(Cover!$D$6="",Cover!$D$6=Engine!$L$23),"Selezionare tipo di organizzazione",IF('Indice Complessità'!$D$9="Incompleto","Completa valutazione complessità",IF('Val. Maturità'!$M$8="Incompleto","Completa valutazione maturità",'13'!$M$5))))</f>
        <v>Selezionare tipo di organizzazione</v>
      </c>
      <c r="J73" s="246"/>
      <c r="K73" s="242"/>
      <c r="L73" s="242"/>
      <c r="M73" s="243"/>
    </row>
    <row r="74" spans="1:13" x14ac:dyDescent="0.35">
      <c r="A74" s="241"/>
      <c r="B74" s="247">
        <f t="shared" si="0"/>
        <v>3.25</v>
      </c>
      <c r="C74" s="248" t="e">
        <f>Engine!$H$58+((Engine!$D$57-Engine!$H$58)/(1+Engine!$D$58*EXP(-Engine!$H$57*(B74-Engine!$F$57)))^(1/Engine!$F$58))</f>
        <v>#VALUE!</v>
      </c>
      <c r="D74" s="246"/>
      <c r="E74" s="246"/>
      <c r="F74" s="657" t="str">
        <f>'Tabella Pesi'!P1</f>
        <v>Cyberespionage</v>
      </c>
      <c r="G74" s="246">
        <f>15-COUNTBLANK('14'!$C$3:$C$17)</f>
        <v>7</v>
      </c>
      <c r="H74" s="246">
        <f>COUNTIFS('14'!$C$3:$C$17,"N/A")</f>
        <v>0</v>
      </c>
      <c r="I74" s="246" t="str">
        <f>IF(G74=H74,0,IF(OR(Cover!$D$6="",Cover!$D$6=Engine!$L$23),"Selezionare tipo di organizzazione",IF('Indice Complessità'!$D$9="Incompleto","Completa valutazione complessità",IF('Val. Maturità'!$M$8="Incompleto","Completa valutazione maturità",'14'!$M$5))))</f>
        <v>Selezionare tipo di organizzazione</v>
      </c>
      <c r="J74" s="246"/>
      <c r="K74" s="242"/>
      <c r="L74" s="242"/>
      <c r="M74" s="243"/>
    </row>
    <row r="75" spans="1:13" x14ac:dyDescent="0.35">
      <c r="A75" s="241"/>
      <c r="B75" s="247">
        <f t="shared" si="0"/>
        <v>3.5</v>
      </c>
      <c r="C75" s="248" t="e">
        <f>Engine!$H$58+((Engine!$D$57-Engine!$H$58)/(1+Engine!$D$58*EXP(-Engine!$H$57*(B75-Engine!$F$57)))^(1/Engine!$F$58))</f>
        <v>#VALUE!</v>
      </c>
      <c r="D75" s="246"/>
      <c r="E75" s="246"/>
      <c r="F75" s="657" t="str">
        <f>'Tabella Pesi'!Q1</f>
        <v>Cryptojacking</v>
      </c>
      <c r="G75" s="246">
        <f>15-COUNTBLANK('15'!$C$3:$C$17)</f>
        <v>5</v>
      </c>
      <c r="H75" s="246">
        <f>COUNTIFS('15'!$C$3:$C$17,"N/A")</f>
        <v>0</v>
      </c>
      <c r="I75" s="246" t="str">
        <f>IF(G75=H75,0,IF(OR(Cover!$D$6="",Cover!$D$6=Engine!$L$23),"Selezionare tipo di organizzazione",IF('Indice Complessità'!$D$9="Incompleto","Completa valutazione complessità",IF('Val. Maturità'!$M$8="Incompleto","Completa valutazione maturità",'15'!$M$5))))</f>
        <v>Selezionare tipo di organizzazione</v>
      </c>
      <c r="J75" s="246"/>
      <c r="K75" s="242"/>
      <c r="L75" s="242"/>
      <c r="M75" s="243"/>
    </row>
    <row r="76" spans="1:13" x14ac:dyDescent="0.35">
      <c r="A76" s="241"/>
      <c r="B76" s="247">
        <f t="shared" si="0"/>
        <v>3.75</v>
      </c>
      <c r="C76" s="248" t="e">
        <f>Engine!$H$58+((Engine!$D$57-Engine!$H$58)/(1+Engine!$D$58*EXP(-Engine!$H$57*(B76-Engine!$F$57)))^(1/Engine!$F$58))</f>
        <v>#VALUE!</v>
      </c>
      <c r="D76" s="246"/>
      <c r="E76" s="246"/>
      <c r="F76" s="246"/>
      <c r="G76" s="246"/>
      <c r="H76" s="246"/>
      <c r="I76" s="246"/>
      <c r="J76" s="246"/>
      <c r="K76" s="242"/>
      <c r="L76" s="242"/>
      <c r="M76" s="243"/>
    </row>
    <row r="77" spans="1:13" x14ac:dyDescent="0.35">
      <c r="A77" s="241"/>
      <c r="B77" s="247">
        <f t="shared" si="0"/>
        <v>4</v>
      </c>
      <c r="C77" s="248" t="e">
        <f>Engine!$H$58+((Engine!$D$57-Engine!$H$58)/(1+Engine!$D$58*EXP(-Engine!$H$57*(B77-Engine!$F$57)))^(1/Engine!$F$58))</f>
        <v>#VALUE!</v>
      </c>
      <c r="D77" s="246"/>
      <c r="E77" s="242"/>
      <c r="F77" s="242"/>
      <c r="G77" s="242"/>
      <c r="H77" s="242"/>
      <c r="I77" s="242"/>
      <c r="J77" s="242"/>
      <c r="K77" s="242"/>
      <c r="L77" s="242"/>
      <c r="M77" s="243"/>
    </row>
    <row r="78" spans="1:13" x14ac:dyDescent="0.35">
      <c r="A78" s="241"/>
      <c r="B78" s="247">
        <f t="shared" si="0"/>
        <v>4.25</v>
      </c>
      <c r="C78" s="248" t="e">
        <f>Engine!$H$58+((Engine!$D$57-Engine!$H$58)/(1+Engine!$D$58*EXP(-Engine!$H$57*(B78-Engine!$F$57)))^(1/Engine!$F$58))</f>
        <v>#VALUE!</v>
      </c>
      <c r="D78" s="246"/>
      <c r="E78" s="242"/>
      <c r="F78" s="242"/>
      <c r="G78" s="242"/>
      <c r="H78" s="242"/>
      <c r="I78" s="242"/>
      <c r="J78" s="242"/>
      <c r="K78" s="242"/>
      <c r="L78" s="242"/>
      <c r="M78" s="243"/>
    </row>
    <row r="79" spans="1:13" x14ac:dyDescent="0.35">
      <c r="A79" s="241"/>
      <c r="B79" s="247">
        <f t="shared" si="0"/>
        <v>4.5</v>
      </c>
      <c r="C79" s="248" t="e">
        <f>Engine!$H$58+((Engine!$D$57-Engine!$H$58)/(1+Engine!$D$58*EXP(-Engine!$H$57*(B79-Engine!$F$57)))^(1/Engine!$F$58))</f>
        <v>#VALUE!</v>
      </c>
      <c r="D79" s="246"/>
      <c r="E79" s="242"/>
      <c r="F79" s="242"/>
      <c r="G79" s="242"/>
      <c r="H79" s="242"/>
      <c r="I79" s="242"/>
      <c r="J79" s="242"/>
      <c r="K79" s="242"/>
      <c r="L79" s="242"/>
      <c r="M79" s="243"/>
    </row>
    <row r="80" spans="1:13" x14ac:dyDescent="0.35">
      <c r="A80" s="241"/>
      <c r="B80" s="247">
        <f t="shared" si="0"/>
        <v>4.75</v>
      </c>
      <c r="C80" s="248" t="e">
        <f>Engine!$H$58+((Engine!$D$57-Engine!$H$58)/(1+Engine!$D$58*EXP(-Engine!$H$57*(B80-Engine!$F$57)))^(1/Engine!$F$58))</f>
        <v>#VALUE!</v>
      </c>
      <c r="D80" s="246"/>
      <c r="E80" s="242"/>
      <c r="F80" s="242"/>
      <c r="G80" s="242"/>
      <c r="H80" s="242"/>
      <c r="I80" s="242"/>
      <c r="J80" s="242"/>
      <c r="K80" s="242"/>
      <c r="L80" s="242"/>
      <c r="M80" s="243"/>
    </row>
    <row r="81" spans="1:13" x14ac:dyDescent="0.35">
      <c r="A81" s="241"/>
      <c r="B81" s="247">
        <f t="shared" si="0"/>
        <v>5</v>
      </c>
      <c r="C81" s="248" t="e">
        <f>Engine!$H$58+((Engine!$D$57-Engine!$H$58)/(1+Engine!$D$58*EXP(-Engine!$H$57*(B81-Engine!$F$57)))^(1/Engine!$F$58))</f>
        <v>#VALUE!</v>
      </c>
      <c r="D81" s="246"/>
      <c r="E81" s="242"/>
      <c r="F81" s="242"/>
      <c r="G81" s="242"/>
      <c r="H81" s="242"/>
      <c r="I81" s="242"/>
      <c r="J81" s="242"/>
      <c r="K81" s="242"/>
      <c r="L81" s="242"/>
      <c r="M81" s="243"/>
    </row>
    <row r="82" spans="1:13" x14ac:dyDescent="0.35">
      <c r="A82" s="241"/>
      <c r="B82" s="247">
        <f t="shared" si="0"/>
        <v>5.25</v>
      </c>
      <c r="C82" s="248" t="e">
        <f>Engine!$H$58+((Engine!$D$57-Engine!$H$58)/(1+Engine!$D$58*EXP(-Engine!$H$57*(B82-Engine!$F$57)))^(1/Engine!$F$58))</f>
        <v>#VALUE!</v>
      </c>
      <c r="D82" s="246"/>
      <c r="E82" s="242"/>
      <c r="F82" s="242"/>
      <c r="G82" s="242"/>
      <c r="H82" s="242"/>
      <c r="I82" s="242"/>
      <c r="J82" s="242"/>
      <c r="K82" s="242"/>
      <c r="L82" s="242"/>
      <c r="M82" s="243"/>
    </row>
    <row r="83" spans="1:13" x14ac:dyDescent="0.35">
      <c r="A83" s="241"/>
      <c r="B83" s="247">
        <f t="shared" si="0"/>
        <v>5.5</v>
      </c>
      <c r="C83" s="248" t="e">
        <f>Engine!$H$58+((Engine!$D$57-Engine!$H$58)/(1+Engine!$D$58*EXP(-Engine!$H$57*(B83-Engine!$F$57)))^(1/Engine!$F$58))</f>
        <v>#VALUE!</v>
      </c>
      <c r="D83" s="246"/>
      <c r="E83" s="242"/>
      <c r="F83" s="242"/>
      <c r="G83" s="242"/>
      <c r="H83" s="242"/>
      <c r="I83" s="242"/>
      <c r="J83" s="242"/>
      <c r="K83" s="242"/>
      <c r="L83" s="242"/>
      <c r="M83" s="243"/>
    </row>
    <row r="84" spans="1:13" x14ac:dyDescent="0.35">
      <c r="A84" s="241"/>
      <c r="B84" s="247">
        <f t="shared" si="0"/>
        <v>5.75</v>
      </c>
      <c r="C84" s="248" t="e">
        <f>Engine!$H$58+((Engine!$D$57-Engine!$H$58)/(1+Engine!$D$58*EXP(-Engine!$H$57*(B84-Engine!$F$57)))^(1/Engine!$F$58))</f>
        <v>#VALUE!</v>
      </c>
      <c r="D84" s="246"/>
      <c r="E84" s="242"/>
      <c r="F84" s="242"/>
      <c r="G84" s="242"/>
      <c r="H84" s="242"/>
      <c r="I84" s="242"/>
      <c r="J84" s="242"/>
      <c r="K84" s="242"/>
      <c r="L84" s="242"/>
      <c r="M84" s="243"/>
    </row>
    <row r="85" spans="1:13" x14ac:dyDescent="0.35">
      <c r="A85" s="241"/>
      <c r="B85" s="247">
        <f t="shared" si="0"/>
        <v>6</v>
      </c>
      <c r="C85" s="248" t="e">
        <f>Engine!$H$58+((Engine!$D$57-Engine!$H$58)/(1+Engine!$D$58*EXP(-Engine!$H$57*(B85-Engine!$F$57)))^(1/Engine!$F$58))</f>
        <v>#VALUE!</v>
      </c>
      <c r="D85" s="246"/>
      <c r="E85" s="242"/>
      <c r="F85" s="242"/>
      <c r="G85" s="242"/>
      <c r="H85" s="242"/>
      <c r="I85" s="242"/>
      <c r="J85" s="242"/>
      <c r="K85" s="242"/>
      <c r="L85" s="242"/>
      <c r="M85" s="243"/>
    </row>
    <row r="86" spans="1:13" x14ac:dyDescent="0.35">
      <c r="A86" s="241"/>
      <c r="B86" s="247">
        <f t="shared" si="0"/>
        <v>6.25</v>
      </c>
      <c r="C86" s="248" t="e">
        <f>Engine!$H$58+((Engine!$D$57-Engine!$H$58)/(1+Engine!$D$58*EXP(-Engine!$H$57*(B86-Engine!$F$57)))^(1/Engine!$F$58))</f>
        <v>#VALUE!</v>
      </c>
      <c r="D86" s="246"/>
      <c r="E86" s="242"/>
      <c r="F86" s="242"/>
      <c r="G86" s="242"/>
      <c r="H86" s="242"/>
      <c r="I86" s="242"/>
      <c r="J86" s="242"/>
      <c r="K86" s="242"/>
      <c r="L86" s="242"/>
      <c r="M86" s="243"/>
    </row>
    <row r="87" spans="1:13" x14ac:dyDescent="0.35">
      <c r="A87" s="241"/>
      <c r="B87" s="247">
        <f t="shared" si="0"/>
        <v>6.5</v>
      </c>
      <c r="C87" s="248" t="e">
        <f>Engine!$H$58+((Engine!$D$57-Engine!$H$58)/(1+Engine!$D$58*EXP(-Engine!$H$57*(B87-Engine!$F$57)))^(1/Engine!$F$58))</f>
        <v>#VALUE!</v>
      </c>
      <c r="D87" s="246"/>
      <c r="E87" s="242"/>
      <c r="F87" s="242"/>
      <c r="G87" s="242"/>
      <c r="H87" s="242"/>
      <c r="I87" s="242"/>
      <c r="J87" s="242"/>
      <c r="K87" s="242"/>
      <c r="L87" s="242"/>
      <c r="M87" s="243"/>
    </row>
    <row r="88" spans="1:13" x14ac:dyDescent="0.35">
      <c r="A88" s="241"/>
      <c r="B88" s="247">
        <f t="shared" si="0"/>
        <v>6.75</v>
      </c>
      <c r="C88" s="248" t="e">
        <f>Engine!$H$58+((Engine!$D$57-Engine!$H$58)/(1+Engine!$D$58*EXP(-Engine!$H$57*(B88-Engine!$F$57)))^(1/Engine!$F$58))</f>
        <v>#VALUE!</v>
      </c>
      <c r="D88" s="246"/>
      <c r="E88" s="242"/>
      <c r="F88" s="242"/>
      <c r="G88" s="242"/>
      <c r="H88" s="242"/>
      <c r="I88" s="242"/>
      <c r="J88" s="242"/>
      <c r="K88" s="242"/>
      <c r="L88" s="242"/>
      <c r="M88" s="243"/>
    </row>
    <row r="89" spans="1:13" x14ac:dyDescent="0.35">
      <c r="A89" s="241"/>
      <c r="B89" s="247">
        <f t="shared" si="0"/>
        <v>7</v>
      </c>
      <c r="C89" s="248" t="e">
        <f>Engine!$H$58+((Engine!$D$57-Engine!$H$58)/(1+Engine!$D$58*EXP(-Engine!$H$57*(B89-Engine!$F$57)))^(1/Engine!$F$58))</f>
        <v>#VALUE!</v>
      </c>
      <c r="D89" s="246"/>
      <c r="E89" s="242"/>
      <c r="F89" s="242"/>
      <c r="G89" s="242"/>
      <c r="H89" s="242"/>
      <c r="I89" s="242"/>
      <c r="J89" s="242"/>
      <c r="K89" s="242"/>
      <c r="L89" s="242"/>
      <c r="M89" s="243"/>
    </row>
    <row r="90" spans="1:13" x14ac:dyDescent="0.35">
      <c r="A90" s="241"/>
      <c r="B90" s="247">
        <f t="shared" si="0"/>
        <v>7.25</v>
      </c>
      <c r="C90" s="248" t="e">
        <f>Engine!$H$58+((Engine!$D$57-Engine!$H$58)/(1+Engine!$D$58*EXP(-Engine!$H$57*(B90-Engine!$F$57)))^(1/Engine!$F$58))</f>
        <v>#VALUE!</v>
      </c>
      <c r="D90" s="246"/>
      <c r="E90" s="242"/>
      <c r="F90" s="242"/>
      <c r="G90" s="242"/>
      <c r="H90" s="242"/>
      <c r="I90" s="242"/>
      <c r="J90" s="242"/>
      <c r="K90" s="242"/>
      <c r="L90" s="242"/>
      <c r="M90" s="243"/>
    </row>
    <row r="91" spans="1:13" x14ac:dyDescent="0.35">
      <c r="A91" s="241"/>
      <c r="B91" s="247">
        <f t="shared" si="0"/>
        <v>7.5</v>
      </c>
      <c r="C91" s="248" t="e">
        <f>Engine!$H$58+((Engine!$D$57-Engine!$H$58)/(1+Engine!$D$58*EXP(-Engine!$H$57*(B91-Engine!$F$57)))^(1/Engine!$F$58))</f>
        <v>#VALUE!</v>
      </c>
      <c r="D91" s="246"/>
      <c r="E91" s="242"/>
      <c r="F91" s="242"/>
      <c r="G91" s="242"/>
      <c r="H91" s="242"/>
      <c r="I91" s="242"/>
      <c r="J91" s="242"/>
      <c r="K91" s="242"/>
      <c r="L91" s="242"/>
      <c r="M91" s="243"/>
    </row>
    <row r="92" spans="1:13" x14ac:dyDescent="0.35">
      <c r="A92" s="241"/>
      <c r="B92" s="247">
        <f t="shared" si="0"/>
        <v>7.75</v>
      </c>
      <c r="C92" s="248" t="e">
        <f>Engine!$H$58+((Engine!$D$57-Engine!$H$58)/(1+Engine!$D$58*EXP(-Engine!$H$57*(B92-Engine!$F$57)))^(1/Engine!$F$58))</f>
        <v>#VALUE!</v>
      </c>
      <c r="D92" s="246"/>
      <c r="E92" s="242"/>
      <c r="F92" s="242"/>
      <c r="G92" s="242"/>
      <c r="H92" s="242"/>
      <c r="I92" s="242"/>
      <c r="J92" s="242"/>
      <c r="K92" s="242"/>
      <c r="L92" s="242"/>
      <c r="M92" s="243"/>
    </row>
    <row r="93" spans="1:13" x14ac:dyDescent="0.35">
      <c r="A93" s="241"/>
      <c r="B93" s="247">
        <f t="shared" si="0"/>
        <v>8</v>
      </c>
      <c r="C93" s="248" t="e">
        <f>Engine!$H$58+((Engine!$D$57-Engine!$H$58)/(1+Engine!$D$58*EXP(-Engine!$H$57*(B93-Engine!$F$57)))^(1/Engine!$F$58))</f>
        <v>#VALUE!</v>
      </c>
      <c r="D93" s="246"/>
      <c r="E93" s="242"/>
      <c r="F93" s="242"/>
      <c r="G93" s="242"/>
      <c r="H93" s="242"/>
      <c r="I93" s="242"/>
      <c r="J93" s="242"/>
      <c r="K93" s="242"/>
      <c r="L93" s="242"/>
      <c r="M93" s="243"/>
    </row>
    <row r="94" spans="1:13" x14ac:dyDescent="0.35">
      <c r="A94" s="241"/>
      <c r="B94" s="247">
        <f t="shared" si="0"/>
        <v>8.25</v>
      </c>
      <c r="C94" s="248" t="e">
        <f>Engine!$H$58+((Engine!$D$57-Engine!$H$58)/(1+Engine!$D$58*EXP(-Engine!$H$57*(B94-Engine!$F$57)))^(1/Engine!$F$58))</f>
        <v>#VALUE!</v>
      </c>
      <c r="D94" s="246"/>
      <c r="E94" s="242"/>
      <c r="F94" s="242"/>
      <c r="G94" s="242"/>
      <c r="H94" s="242"/>
      <c r="I94" s="242"/>
      <c r="J94" s="242"/>
      <c r="K94" s="242"/>
      <c r="L94" s="242"/>
      <c r="M94" s="243"/>
    </row>
    <row r="95" spans="1:13" x14ac:dyDescent="0.35">
      <c r="A95" s="241"/>
      <c r="B95" s="247">
        <f t="shared" si="0"/>
        <v>8.5</v>
      </c>
      <c r="C95" s="248" t="e">
        <f>Engine!$H$58+((Engine!$D$57-Engine!$H$58)/(1+Engine!$D$58*EXP(-Engine!$H$57*(B95-Engine!$F$57)))^(1/Engine!$F$58))</f>
        <v>#VALUE!</v>
      </c>
      <c r="D95" s="246"/>
      <c r="E95" s="242"/>
      <c r="F95" s="242"/>
      <c r="G95" s="242"/>
      <c r="H95" s="242"/>
      <c r="I95" s="242"/>
      <c r="J95" s="242"/>
      <c r="K95" s="242"/>
      <c r="L95" s="242"/>
      <c r="M95" s="243"/>
    </row>
    <row r="96" spans="1:13" x14ac:dyDescent="0.35">
      <c r="A96" s="241"/>
      <c r="B96" s="247">
        <f t="shared" si="0"/>
        <v>8.75</v>
      </c>
      <c r="C96" s="248" t="e">
        <f>Engine!$H$58+((Engine!$D$57-Engine!$H$58)/(1+Engine!$D$58*EXP(-Engine!$H$57*(B96-Engine!$F$57)))^(1/Engine!$F$58))</f>
        <v>#VALUE!</v>
      </c>
      <c r="D96" s="246"/>
      <c r="E96" s="242"/>
      <c r="F96" s="242"/>
      <c r="G96" s="242"/>
      <c r="H96" s="242"/>
      <c r="I96" s="242"/>
      <c r="J96" s="242"/>
      <c r="K96" s="242"/>
      <c r="L96" s="242"/>
      <c r="M96" s="243"/>
    </row>
    <row r="97" spans="1:13" x14ac:dyDescent="0.35">
      <c r="A97" s="241"/>
      <c r="B97" s="247">
        <f t="shared" si="0"/>
        <v>9</v>
      </c>
      <c r="C97" s="248" t="e">
        <f>Engine!$H$58+((Engine!$D$57-Engine!$H$58)/(1+Engine!$D$58*EXP(-Engine!$H$57*(B97-Engine!$F$57)))^(1/Engine!$F$58))</f>
        <v>#VALUE!</v>
      </c>
      <c r="D97" s="246"/>
      <c r="E97" s="242"/>
      <c r="F97" s="242"/>
      <c r="G97" s="242"/>
      <c r="H97" s="242"/>
      <c r="I97" s="242"/>
      <c r="J97" s="242"/>
      <c r="K97" s="242"/>
      <c r="L97" s="242"/>
      <c r="M97" s="243"/>
    </row>
    <row r="98" spans="1:13" x14ac:dyDescent="0.35">
      <c r="A98" s="241"/>
      <c r="B98" s="247">
        <f t="shared" si="0"/>
        <v>9.25</v>
      </c>
      <c r="C98" s="248" t="e">
        <f>Engine!$H$58+((Engine!$D$57-Engine!$H$58)/(1+Engine!$D$58*EXP(-Engine!$H$57*(B98-Engine!$F$57)))^(1/Engine!$F$58))</f>
        <v>#VALUE!</v>
      </c>
      <c r="D98" s="246"/>
      <c r="E98" s="242"/>
      <c r="F98" s="242"/>
      <c r="G98" s="242"/>
      <c r="H98" s="242"/>
      <c r="I98" s="242"/>
      <c r="J98" s="242"/>
      <c r="K98" s="242"/>
      <c r="L98" s="242"/>
      <c r="M98" s="243"/>
    </row>
    <row r="99" spans="1:13" x14ac:dyDescent="0.35">
      <c r="A99" s="241"/>
      <c r="B99" s="247">
        <f t="shared" si="0"/>
        <v>9.5</v>
      </c>
      <c r="C99" s="248" t="e">
        <f>Engine!$H$58+((Engine!$D$57-Engine!$H$58)/(1+Engine!$D$58*EXP(-Engine!$H$57*(B99-Engine!$F$57)))^(1/Engine!$F$58))</f>
        <v>#VALUE!</v>
      </c>
      <c r="D99" s="246"/>
      <c r="E99" s="242"/>
      <c r="F99" s="242"/>
      <c r="G99" s="242"/>
      <c r="H99" s="242"/>
      <c r="I99" s="242"/>
      <c r="J99" s="242"/>
      <c r="K99" s="242"/>
      <c r="L99" s="242"/>
      <c r="M99" s="243"/>
    </row>
    <row r="100" spans="1:13" x14ac:dyDescent="0.35">
      <c r="A100" s="241"/>
      <c r="B100" s="247">
        <f t="shared" si="0"/>
        <v>9.75</v>
      </c>
      <c r="C100" s="248" t="e">
        <f>Engine!$H$58+((Engine!$D$57-Engine!$H$58)/(1+Engine!$D$58*EXP(-Engine!$H$57*(B100-Engine!$F$57)))^(1/Engine!$F$58))</f>
        <v>#VALUE!</v>
      </c>
      <c r="D100" s="246"/>
      <c r="E100" s="242"/>
      <c r="F100" s="242"/>
      <c r="G100" s="242"/>
      <c r="H100" s="242"/>
      <c r="I100" s="242"/>
      <c r="J100" s="242"/>
      <c r="K100" s="242"/>
      <c r="L100" s="242"/>
      <c r="M100" s="243"/>
    </row>
    <row r="101" spans="1:13" ht="15" thickBot="1" x14ac:dyDescent="0.4">
      <c r="A101" s="241"/>
      <c r="B101" s="249">
        <f t="shared" si="0"/>
        <v>10</v>
      </c>
      <c r="C101" s="250" t="e">
        <f>Engine!$H$58+((Engine!$D$57-Engine!$H$58)/(1+Engine!$D$58*EXP(-Engine!$H$57*(B101-Engine!$F$57)))^(1/Engine!$F$58))</f>
        <v>#VALUE!</v>
      </c>
      <c r="D101" s="246"/>
      <c r="E101" s="242"/>
      <c r="F101" s="242"/>
      <c r="G101" s="242"/>
      <c r="H101" s="242"/>
      <c r="I101" s="242"/>
      <c r="J101" s="242"/>
      <c r="K101" s="242"/>
      <c r="L101" s="242"/>
      <c r="M101" s="243"/>
    </row>
    <row r="102" spans="1:13" x14ac:dyDescent="0.35">
      <c r="A102" s="241"/>
      <c r="B102" s="242"/>
      <c r="C102" s="242"/>
      <c r="D102" s="242"/>
      <c r="E102" s="242"/>
      <c r="F102" s="242"/>
      <c r="G102" s="242"/>
      <c r="H102" s="242"/>
      <c r="I102" s="242"/>
      <c r="J102" s="242"/>
      <c r="K102" s="242"/>
      <c r="L102" s="242"/>
      <c r="M102" s="243"/>
    </row>
    <row r="103" spans="1:13" ht="15" thickBot="1" x14ac:dyDescent="0.4">
      <c r="A103" s="251"/>
      <c r="B103" s="252"/>
      <c r="C103" s="252"/>
      <c r="D103" s="252"/>
      <c r="E103" s="252"/>
      <c r="F103" s="252"/>
      <c r="G103" s="252"/>
      <c r="H103" s="252"/>
      <c r="I103" s="252"/>
      <c r="J103" s="252"/>
      <c r="K103" s="252"/>
      <c r="L103" s="252"/>
      <c r="M103" s="253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78E493A29264F84D9F95690A4F6E6904" ma:contentTypeVersion="12" ma:contentTypeDescription="Creare un nuovo documento." ma:contentTypeScope="" ma:versionID="f9c10e9767a0b1239080ce85bf51560d">
  <xsd:schema xmlns:xsd="http://www.w3.org/2001/XMLSchema" xmlns:xs="http://www.w3.org/2001/XMLSchema" xmlns:p="http://schemas.microsoft.com/office/2006/metadata/properties" xmlns:ns3="16bb6c4e-80d2-4879-b0b9-dd990478c5f0" xmlns:ns4="aa26179a-8f90-4e7b-8987-3a2a61f18f43" targetNamespace="http://schemas.microsoft.com/office/2006/metadata/properties" ma:root="true" ma:fieldsID="32ab37d4896dca3f0e72bf13a48eb169" ns3:_="" ns4:_="">
    <xsd:import namespace="16bb6c4e-80d2-4879-b0b9-dd990478c5f0"/>
    <xsd:import namespace="aa26179a-8f90-4e7b-8987-3a2a61f18f43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KeyPoints" minOccurs="0"/>
                <xsd:element ref="ns3:MediaServiceKeyPoints" minOccurs="0"/>
                <xsd:element ref="ns3:MediaServiceDateTaken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4:SharedWithUsers" minOccurs="0"/>
                <xsd:element ref="ns4:SharedWithDetails" minOccurs="0"/>
                <xsd:element ref="ns4:SharingHintHash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bb6c4e-80d2-4879-b0b9-dd990478c5f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OCR" ma:index="14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a26179a-8f90-4e7b-8987-3a2a61f18f43" elementFormDefault="qualified">
    <xsd:import namespace="http://schemas.microsoft.com/office/2006/documentManagement/types"/>
    <xsd:import namespace="http://schemas.microsoft.com/office/infopath/2007/PartnerControls"/>
    <xsd:element name="SharedWithUsers" ma:index="17" nillable="true" ma:displayName="Condiviso con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8" nillable="true" ma:displayName="Condiviso con dettagli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9" nillable="true" ma:displayName="Hash suggerimento condivisione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i contenuto"/>
        <xsd:element ref="dc:title" minOccurs="0" maxOccurs="1" ma:index="4" ma:displayName="Tito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C93BB842-CB2C-4C50-A0F4-9F5EE3FF0BCF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DAAF4E3B-5045-4F71-A14F-BB5D71765E2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16bb6c4e-80d2-4879-b0b9-dd990478c5f0"/>
    <ds:schemaRef ds:uri="aa26179a-8f90-4e7b-8987-3a2a61f18f4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E02F6FF1-1B1E-4727-8B4C-71216ADACAFE}">
  <ds:schemaRefs>
    <ds:schemaRef ds:uri="http://www.w3.org/XML/1998/namespace"/>
    <ds:schemaRef ds:uri="http://purl.org/dc/elements/1.1/"/>
    <ds:schemaRef ds:uri="aa26179a-8f90-4e7b-8987-3a2a61f18f43"/>
    <ds:schemaRef ds:uri="16bb6c4e-80d2-4879-b0b9-dd990478c5f0"/>
    <ds:schemaRef ds:uri="http://purl.org/dc/terms/"/>
    <ds:schemaRef ds:uri="http://purl.org/dc/dcmitype/"/>
    <ds:schemaRef ds:uri="http://schemas.microsoft.com/office/2006/documentManagement/types"/>
    <ds:schemaRef ds:uri="http://schemas.microsoft.com/office/infopath/2007/PartnerControls"/>
    <ds:schemaRef ds:uri="http://schemas.microsoft.com/office/2006/metadata/properties"/>
    <ds:schemaRef ds:uri="http://schemas.openxmlformats.org/package/2006/metadata/core-propertie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25</vt:i4>
      </vt:variant>
    </vt:vector>
  </HeadingPairs>
  <TitlesOfParts>
    <vt:vector size="25" baseType="lpstr">
      <vt:lpstr>Cover</vt:lpstr>
      <vt:lpstr>Val. Complessità</vt:lpstr>
      <vt:lpstr>Indice Complessità</vt:lpstr>
      <vt:lpstr>Val. Maturità</vt:lpstr>
      <vt:lpstr>Tabella Pesi</vt:lpstr>
      <vt:lpstr>1</vt:lpstr>
      <vt:lpstr>2</vt:lpstr>
      <vt:lpstr>3</vt:lpstr>
      <vt:lpstr>4</vt:lpstr>
      <vt:lpstr>5</vt:lpstr>
      <vt:lpstr>6</vt:lpstr>
      <vt:lpstr>7</vt:lpstr>
      <vt:lpstr>8</vt:lpstr>
      <vt:lpstr>9</vt:lpstr>
      <vt:lpstr>10</vt:lpstr>
      <vt:lpstr>11</vt:lpstr>
      <vt:lpstr>12</vt:lpstr>
      <vt:lpstr>13</vt:lpstr>
      <vt:lpstr>14</vt:lpstr>
      <vt:lpstr>15</vt:lpstr>
      <vt:lpstr>Calcolo Probabilità</vt:lpstr>
      <vt:lpstr>Input HTMA</vt:lpstr>
      <vt:lpstr>old HTMA</vt:lpstr>
      <vt:lpstr>FAIR</vt:lpstr>
      <vt:lpstr>Engine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Giulia</dc:creator>
  <cp:lastModifiedBy>Giulia Rafaiani</cp:lastModifiedBy>
  <dcterms:created xsi:type="dcterms:W3CDTF">2021-04-16T11:29:25Z</dcterms:created>
  <dcterms:modified xsi:type="dcterms:W3CDTF">2023-07-11T09:35:02Z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0x01010078E493A29264F84D9F95690A4F6E6904</vt:lpwstr>
  </property>
</Properties>
</file>